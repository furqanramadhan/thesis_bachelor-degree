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ani" sheetId="1" r:id="rId4"/>
    <sheet state="visible" name="PeriodeTanam" sheetId="2" r:id="rId5"/>
    <sheet state="visible" name="ManajemenUsaha" sheetId="3" r:id="rId6"/>
  </sheets>
  <definedNames/>
  <calcPr/>
</workbook>
</file>

<file path=xl/sharedStrings.xml><?xml version="1.0" encoding="utf-8"?>
<sst xmlns="http://schemas.openxmlformats.org/spreadsheetml/2006/main" count="11045" uniqueCount="1060">
  <si>
    <t>id_petani</t>
  </si>
  <si>
    <t>provinsi</t>
  </si>
  <si>
    <t>kab_kota</t>
  </si>
  <si>
    <t>kecamatan</t>
  </si>
  <si>
    <t>desa_gampong</t>
  </si>
  <si>
    <t>no_urut_sampel</t>
  </si>
  <si>
    <t>nama</t>
  </si>
  <si>
    <t>jenis_kelamin</t>
  </si>
  <si>
    <t>umur</t>
  </si>
  <si>
    <t>alamat</t>
  </si>
  <si>
    <t>no_hp</t>
  </si>
  <si>
    <t>pendidikan_terakhir</t>
  </si>
  <si>
    <t>tahun_mulai_bertani</t>
  </si>
  <si>
    <t>lahan_milik_sendiri</t>
  </si>
  <si>
    <t>total_lahan_m2</t>
  </si>
  <si>
    <t>varietas_padi</t>
  </si>
  <si>
    <t>durasi_varietas_padi</t>
  </si>
  <si>
    <t>PTN001</t>
  </si>
  <si>
    <t>Aceh</t>
  </si>
  <si>
    <t>Aceh Besar</t>
  </si>
  <si>
    <t>Montasik</t>
  </si>
  <si>
    <t>Mata Ie</t>
  </si>
  <si>
    <t>Ainal Mardhiah</t>
  </si>
  <si>
    <t>Perempuan</t>
  </si>
  <si>
    <t>Mata ie, Montasik</t>
  </si>
  <si>
    <t>S1</t>
  </si>
  <si>
    <t>Lahan milik sendiri</t>
  </si>
  <si>
    <t>Mustajab</t>
  </si>
  <si>
    <t>PTN002</t>
  </si>
  <si>
    <t>suteni</t>
  </si>
  <si>
    <t>D3</t>
  </si>
  <si>
    <t>Lahan yang berasal dari pihak lain</t>
  </si>
  <si>
    <t>Ngawos</t>
  </si>
  <si>
    <t>PTN003</t>
  </si>
  <si>
    <t>Nurazinah</t>
  </si>
  <si>
    <t>Inpari 32</t>
  </si>
  <si>
    <t>PTN004</t>
  </si>
  <si>
    <t>Faizah</t>
  </si>
  <si>
    <t>SMP</t>
  </si>
  <si>
    <t>Ciherang</t>
  </si>
  <si>
    <t>PTN005</t>
  </si>
  <si>
    <t>Athani</t>
  </si>
  <si>
    <t>PTN006</t>
  </si>
  <si>
    <t>Agustina</t>
  </si>
  <si>
    <t>SMA/SMK</t>
  </si>
  <si>
    <t>PTN007</t>
  </si>
  <si>
    <t>Erlina</t>
  </si>
  <si>
    <t>Ciherang beruang</t>
  </si>
  <si>
    <t>PTN008</t>
  </si>
  <si>
    <t>Muzaidar</t>
  </si>
  <si>
    <t>PTN009</t>
  </si>
  <si>
    <t>Mariyawati</t>
  </si>
  <si>
    <t>PTN010</t>
  </si>
  <si>
    <t>Ruwaida</t>
  </si>
  <si>
    <t>PTN011</t>
  </si>
  <si>
    <t>Atong</t>
  </si>
  <si>
    <t>Nur Aini</t>
  </si>
  <si>
    <t>Atong, Montasik</t>
  </si>
  <si>
    <t>SD</t>
  </si>
  <si>
    <t>PTN012</t>
  </si>
  <si>
    <t>Wanti Aminah</t>
  </si>
  <si>
    <t>PTN013</t>
  </si>
  <si>
    <t>Nurhafiza</t>
  </si>
  <si>
    <t>Lahan milik sendiri, Lahan yang berasal dari pihak lain</t>
  </si>
  <si>
    <t>PTN014</t>
  </si>
  <si>
    <t>Aisatul Kubra</t>
  </si>
  <si>
    <t>PTN015</t>
  </si>
  <si>
    <t>Yurisna</t>
  </si>
  <si>
    <t>PTN016</t>
  </si>
  <si>
    <t>Safira Rumaisa</t>
  </si>
  <si>
    <t>PTN017</t>
  </si>
  <si>
    <t>Raisatul Muna</t>
  </si>
  <si>
    <t>PTN018</t>
  </si>
  <si>
    <t>Syukriah</t>
  </si>
  <si>
    <t>PTN019</t>
  </si>
  <si>
    <t>Darliana</t>
  </si>
  <si>
    <t>Cibatu</t>
  </si>
  <si>
    <t>PTN020</t>
  </si>
  <si>
    <t>Rahmiati</t>
  </si>
  <si>
    <t>Mekongga</t>
  </si>
  <si>
    <t>PTN021</t>
  </si>
  <si>
    <t>Indrapuri</t>
  </si>
  <si>
    <t>Lam Ilie Mesjid</t>
  </si>
  <si>
    <t>Jaliah</t>
  </si>
  <si>
    <t>Dusun Timur, Lam Ilie Mesjid</t>
  </si>
  <si>
    <t>PTN022</t>
  </si>
  <si>
    <t>Nurjannah</t>
  </si>
  <si>
    <t>PTN023</t>
  </si>
  <si>
    <t>Reukih Keupula</t>
  </si>
  <si>
    <t>Nurmala</t>
  </si>
  <si>
    <t>Dusun Blang, Desa Reukih Keupula</t>
  </si>
  <si>
    <t>PTN024</t>
  </si>
  <si>
    <t>Kamisna</t>
  </si>
  <si>
    <t>PTN025</t>
  </si>
  <si>
    <t>Yusnidar</t>
  </si>
  <si>
    <t>Dusun Lhok, Desa Reukih Keupula</t>
  </si>
  <si>
    <t>PTN026</t>
  </si>
  <si>
    <t>Misna</t>
  </si>
  <si>
    <t>PTN027</t>
  </si>
  <si>
    <t>Dewi Novita</t>
  </si>
  <si>
    <t>Ramos</t>
  </si>
  <si>
    <t>PTN028</t>
  </si>
  <si>
    <t>Suryana</t>
  </si>
  <si>
    <t>CBD 04</t>
  </si>
  <si>
    <t>PTN029</t>
  </si>
  <si>
    <t>Irwan</t>
  </si>
  <si>
    <t>Laki-laki</t>
  </si>
  <si>
    <t>PTN030</t>
  </si>
  <si>
    <t>Anisah</t>
  </si>
  <si>
    <t>PTN031</t>
  </si>
  <si>
    <t>Rusniah</t>
  </si>
  <si>
    <t>PTN032</t>
  </si>
  <si>
    <t>Nadiatul Zikra</t>
  </si>
  <si>
    <t>CBD Murni</t>
  </si>
  <si>
    <t>PTN033</t>
  </si>
  <si>
    <t>Juita</t>
  </si>
  <si>
    <t>PTN034</t>
  </si>
  <si>
    <t>Zuhra Wati</t>
  </si>
  <si>
    <t>Beulerang</t>
  </si>
  <si>
    <t>PTN035</t>
  </si>
  <si>
    <t>Salmiah</t>
  </si>
  <si>
    <t>Brangus</t>
  </si>
  <si>
    <t>PTN130</t>
  </si>
  <si>
    <t>Dahlianti</t>
  </si>
  <si>
    <t>Dusun Barat, Lam Ilie Mesjid</t>
  </si>
  <si>
    <t>PTN131</t>
  </si>
  <si>
    <t>Adian</t>
  </si>
  <si>
    <t>PTN132</t>
  </si>
  <si>
    <t>Nurjani</t>
  </si>
  <si>
    <t>PTN133</t>
  </si>
  <si>
    <t>Anda Yani</t>
  </si>
  <si>
    <t>PTN134</t>
  </si>
  <si>
    <t>Muzaiyyanah</t>
  </si>
  <si>
    <t>D2</t>
  </si>
  <si>
    <t>PTN200</t>
  </si>
  <si>
    <t>Darussalam</t>
  </si>
  <si>
    <t>Lambada Peukan</t>
  </si>
  <si>
    <t/>
  </si>
  <si>
    <t>Bakhtiar</t>
  </si>
  <si>
    <t>PTN201</t>
  </si>
  <si>
    <t>Hasbi</t>
  </si>
  <si>
    <t>PTN202</t>
  </si>
  <si>
    <t>Nyak Cut</t>
  </si>
  <si>
    <t>PTN203</t>
  </si>
  <si>
    <t>Hasballah</t>
  </si>
  <si>
    <t>PTN204</t>
  </si>
  <si>
    <t>Muttaqien</t>
  </si>
  <si>
    <t>PTN205</t>
  </si>
  <si>
    <t>Ramlah</t>
  </si>
  <si>
    <t>PTN206</t>
  </si>
  <si>
    <t>Hubron</t>
  </si>
  <si>
    <t>PTN207</t>
  </si>
  <si>
    <t>Sulaiman</t>
  </si>
  <si>
    <t>PTN208</t>
  </si>
  <si>
    <t>Armia Idris</t>
  </si>
  <si>
    <t>PTN209</t>
  </si>
  <si>
    <t>Alwi</t>
  </si>
  <si>
    <t>PTN036</t>
  </si>
  <si>
    <t>Aceh Jaya</t>
  </si>
  <si>
    <t>jaya</t>
  </si>
  <si>
    <t>lhuet</t>
  </si>
  <si>
    <t>ruqaiyah</t>
  </si>
  <si>
    <t>Lhuet</t>
  </si>
  <si>
    <t>Inpari</t>
  </si>
  <si>
    <t>PTN037</t>
  </si>
  <si>
    <t>Jaya</t>
  </si>
  <si>
    <t>Khadijah</t>
  </si>
  <si>
    <t>PTN038</t>
  </si>
  <si>
    <t>Mariami</t>
  </si>
  <si>
    <t>PTN039</t>
  </si>
  <si>
    <t>sawidah</t>
  </si>
  <si>
    <t>Lahan yang berasal dari pihak lain, Lahan milik sendiri</t>
  </si>
  <si>
    <t>PTN040</t>
  </si>
  <si>
    <t>Raima</t>
  </si>
  <si>
    <t>PTN041</t>
  </si>
  <si>
    <t>Anita</t>
  </si>
  <si>
    <t>PTN042</t>
  </si>
  <si>
    <t>Ausniyah Hajirah</t>
  </si>
  <si>
    <t>PTN043</t>
  </si>
  <si>
    <t>Yusniar</t>
  </si>
  <si>
    <t>PTN044</t>
  </si>
  <si>
    <t>ISMA/SMKel</t>
  </si>
  <si>
    <t>PTN045</t>
  </si>
  <si>
    <t>Setia Bakti</t>
  </si>
  <si>
    <t>Lhok Bot</t>
  </si>
  <si>
    <t>Luida Santi</t>
  </si>
  <si>
    <t>PTN046</t>
  </si>
  <si>
    <t>Ikta</t>
  </si>
  <si>
    <t>PTN047</t>
  </si>
  <si>
    <t>Jasumi</t>
  </si>
  <si>
    <t>PTN048</t>
  </si>
  <si>
    <t>Abdullah</t>
  </si>
  <si>
    <t>PTN049</t>
  </si>
  <si>
    <t>Nyak Na</t>
  </si>
  <si>
    <t>PTN050</t>
  </si>
  <si>
    <t>M Kudus</t>
  </si>
  <si>
    <t>PTN051</t>
  </si>
  <si>
    <t>M Azis</t>
  </si>
  <si>
    <t>PTN052</t>
  </si>
  <si>
    <t>Zuhati</t>
  </si>
  <si>
    <t>PTN053</t>
  </si>
  <si>
    <t>Harun</t>
  </si>
  <si>
    <t>PTN054</t>
  </si>
  <si>
    <t>M Yalim</t>
  </si>
  <si>
    <t>PTN055</t>
  </si>
  <si>
    <t>Abudlu Mufalep</t>
  </si>
  <si>
    <t>PTN056</t>
  </si>
  <si>
    <t>Maia Sari</t>
  </si>
  <si>
    <t>PTN057</t>
  </si>
  <si>
    <t>Hasanah</t>
  </si>
  <si>
    <t>PTN058</t>
  </si>
  <si>
    <t>Juanda</t>
  </si>
  <si>
    <t>PTN059</t>
  </si>
  <si>
    <t>Pasie Jaya</t>
  </si>
  <si>
    <t>Pasie Teubue</t>
  </si>
  <si>
    <t>Cut Fatimah</t>
  </si>
  <si>
    <t>Tinggong</t>
  </si>
  <si>
    <t>PTN060</t>
  </si>
  <si>
    <t>Cut Zainah</t>
  </si>
  <si>
    <t>PTN061</t>
  </si>
  <si>
    <t>Marnita</t>
  </si>
  <si>
    <t>PTN062</t>
  </si>
  <si>
    <t>Teuku Zurkhandi</t>
  </si>
  <si>
    <t>PTN063</t>
  </si>
  <si>
    <t>Cut Zulaika</t>
  </si>
  <si>
    <t>PTN064</t>
  </si>
  <si>
    <t>Cut Dewi</t>
  </si>
  <si>
    <t>PTN065</t>
  </si>
  <si>
    <t>T. Meurah Ali</t>
  </si>
  <si>
    <t>PTN066</t>
  </si>
  <si>
    <t>Kharil Anwar</t>
  </si>
  <si>
    <t>PTN067</t>
  </si>
  <si>
    <t>T. Zuwandi</t>
  </si>
  <si>
    <t>PTN068</t>
  </si>
  <si>
    <t>Rukiah</t>
  </si>
  <si>
    <t>PTN069</t>
  </si>
  <si>
    <t>Teunom</t>
  </si>
  <si>
    <t>Rambong Payong</t>
  </si>
  <si>
    <t>Raimah</t>
  </si>
  <si>
    <t>Rambong Payong, Teunom</t>
  </si>
  <si>
    <t>PTN070</t>
  </si>
  <si>
    <t>Erlina Wati</t>
  </si>
  <si>
    <t>PTN071</t>
  </si>
  <si>
    <t>KaSMA/SMKwati</t>
  </si>
  <si>
    <t>PTN072</t>
  </si>
  <si>
    <t>Arifah Nur</t>
  </si>
  <si>
    <t>PTN073</t>
  </si>
  <si>
    <t>Sarbiah</t>
  </si>
  <si>
    <t>PTN074</t>
  </si>
  <si>
    <t>Nurhayati</t>
  </si>
  <si>
    <t>PTN075</t>
  </si>
  <si>
    <t>Martini</t>
  </si>
  <si>
    <t>PTN076</t>
  </si>
  <si>
    <t>Rajani</t>
  </si>
  <si>
    <t>PTN077</t>
  </si>
  <si>
    <t>Rovi Roswita</t>
  </si>
  <si>
    <t>PTN078</t>
  </si>
  <si>
    <t>Pidie</t>
  </si>
  <si>
    <t>Kampong Baro</t>
  </si>
  <si>
    <t>Ramli</t>
  </si>
  <si>
    <t>Cibatu 05</t>
  </si>
  <si>
    <t>PTN079</t>
  </si>
  <si>
    <t>Kamarullah</t>
  </si>
  <si>
    <t>PTN080</t>
  </si>
  <si>
    <t>Faidil Akbar</t>
  </si>
  <si>
    <t>PTN081</t>
  </si>
  <si>
    <t>Tasli Fonda</t>
  </si>
  <si>
    <t>PTN082</t>
  </si>
  <si>
    <t>Nurdin B</t>
  </si>
  <si>
    <t>PTN083</t>
  </si>
  <si>
    <t>M. Yakob Kasem</t>
  </si>
  <si>
    <t>PTN084</t>
  </si>
  <si>
    <t>M. Nasir</t>
  </si>
  <si>
    <t>Inpari 42</t>
  </si>
  <si>
    <t>PTN085</t>
  </si>
  <si>
    <t>Zulfian</t>
  </si>
  <si>
    <t>PTN086</t>
  </si>
  <si>
    <t>Zulfikar</t>
  </si>
  <si>
    <t>PTN087</t>
  </si>
  <si>
    <t>Nanda Reuana</t>
  </si>
  <si>
    <t>PTN088</t>
  </si>
  <si>
    <t>PTN089</t>
  </si>
  <si>
    <t>PTN090</t>
  </si>
  <si>
    <t>Indrajaya</t>
  </si>
  <si>
    <t>Blang Lhok Kaju</t>
  </si>
  <si>
    <t>Desa Blang Lhok Kaju, Indrajaya</t>
  </si>
  <si>
    <t>Padi andin</t>
  </si>
  <si>
    <t>PTN091</t>
  </si>
  <si>
    <t>Safrina</t>
  </si>
  <si>
    <t>PTN092</t>
  </si>
  <si>
    <t>Armia</t>
  </si>
  <si>
    <t>PTN093</t>
  </si>
  <si>
    <t>Jailani</t>
  </si>
  <si>
    <t>PTN094</t>
  </si>
  <si>
    <t>Zulfahmi</t>
  </si>
  <si>
    <t>PTN095</t>
  </si>
  <si>
    <t>Muslim Abi</t>
  </si>
  <si>
    <t>PTN096</t>
  </si>
  <si>
    <t>Bukhari</t>
  </si>
  <si>
    <t>PTN097</t>
  </si>
  <si>
    <t>Hasbi Gadeng</t>
  </si>
  <si>
    <t>PTN098</t>
  </si>
  <si>
    <t>Julianti</t>
  </si>
  <si>
    <t>PTN099</t>
  </si>
  <si>
    <t>Hafni</t>
  </si>
  <si>
    <t>PTN100</t>
  </si>
  <si>
    <t>Meunasah Drien</t>
  </si>
  <si>
    <t>Darniati</t>
  </si>
  <si>
    <t>Meunasah Drien, Indra Jaya</t>
  </si>
  <si>
    <t>PTN101</t>
  </si>
  <si>
    <t>PTN102</t>
  </si>
  <si>
    <t>Sairah</t>
  </si>
  <si>
    <t>PTN103</t>
  </si>
  <si>
    <t>Nurliza</t>
  </si>
  <si>
    <t>PTN104</t>
  </si>
  <si>
    <t>Nasruddin</t>
  </si>
  <si>
    <t>PTN105</t>
  </si>
  <si>
    <t>Feri Edendi</t>
  </si>
  <si>
    <t>PTN106</t>
  </si>
  <si>
    <t>Agustian</t>
  </si>
  <si>
    <t>Padi bojeng</t>
  </si>
  <si>
    <t>PTN107</t>
  </si>
  <si>
    <t>Mariana</t>
  </si>
  <si>
    <t>PTN108</t>
  </si>
  <si>
    <t>Ernalia</t>
  </si>
  <si>
    <t>PTN109</t>
  </si>
  <si>
    <t>Mukhtar</t>
  </si>
  <si>
    <t>PTN110</t>
  </si>
  <si>
    <t>Aceh Utara</t>
  </si>
  <si>
    <t>Lhoksukon</t>
  </si>
  <si>
    <t>Tengoh LT</t>
  </si>
  <si>
    <t>Baharuddin</t>
  </si>
  <si>
    <t>Meunasah Tengoh LT, Lhoksukon</t>
  </si>
  <si>
    <t>CBD</t>
  </si>
  <si>
    <t>PTN111</t>
  </si>
  <si>
    <t>Ibnu Hajar</t>
  </si>
  <si>
    <t>PTN112</t>
  </si>
  <si>
    <t>M. Ali</t>
  </si>
  <si>
    <t>PTN113</t>
  </si>
  <si>
    <t>Abdul Khalid</t>
  </si>
  <si>
    <t>PTN114</t>
  </si>
  <si>
    <t>Jarimi</t>
  </si>
  <si>
    <t>PTN115</t>
  </si>
  <si>
    <t>Rusli</t>
  </si>
  <si>
    <t>PTN116</t>
  </si>
  <si>
    <t>Nuraini</t>
  </si>
  <si>
    <t>PTN117</t>
  </si>
  <si>
    <t>Anwar</t>
  </si>
  <si>
    <t>PTN118</t>
  </si>
  <si>
    <t>PTN119</t>
  </si>
  <si>
    <t>Badriyah</t>
  </si>
  <si>
    <t>PTN120</t>
  </si>
  <si>
    <t>Ahmad Yani</t>
  </si>
  <si>
    <t>PTN121</t>
  </si>
  <si>
    <t>Beuringin LB</t>
  </si>
  <si>
    <t>Aziz</t>
  </si>
  <si>
    <t>Desa Beuringin LB, Lhoksukon</t>
  </si>
  <si>
    <t>PTN122</t>
  </si>
  <si>
    <t>Nur Lela Wati</t>
  </si>
  <si>
    <t>PTN123</t>
  </si>
  <si>
    <t>Junaidi</t>
  </si>
  <si>
    <t>PTN124</t>
  </si>
  <si>
    <t>Irawadi</t>
  </si>
  <si>
    <t>PTN125</t>
  </si>
  <si>
    <t>Sofyan Daud</t>
  </si>
  <si>
    <t>PTN126</t>
  </si>
  <si>
    <t>Habibillah</t>
  </si>
  <si>
    <t>PTN127</t>
  </si>
  <si>
    <t>Zulfitri</t>
  </si>
  <si>
    <t>PTN128</t>
  </si>
  <si>
    <t>Dodi Mayoli</t>
  </si>
  <si>
    <t>PTN129</t>
  </si>
  <si>
    <t>Halimah</t>
  </si>
  <si>
    <t>PTN136</t>
  </si>
  <si>
    <t>Bireun</t>
  </si>
  <si>
    <t>Juli</t>
  </si>
  <si>
    <t>Meunasah Tambo</t>
  </si>
  <si>
    <t>Darmi</t>
  </si>
  <si>
    <t>Meunasah Tambo, Juli</t>
  </si>
  <si>
    <t>Mr 219</t>
  </si>
  <si>
    <t>PTN137</t>
  </si>
  <si>
    <t>Cut Meutia</t>
  </si>
  <si>
    <t>PTN138</t>
  </si>
  <si>
    <t>Ainal</t>
  </si>
  <si>
    <t>PTN139</t>
  </si>
  <si>
    <t>Habsah</t>
  </si>
  <si>
    <t>PTN140</t>
  </si>
  <si>
    <t>Fadila</t>
  </si>
  <si>
    <t>PTN141</t>
  </si>
  <si>
    <t>Rohani</t>
  </si>
  <si>
    <t>PTN142</t>
  </si>
  <si>
    <t>Nazarnita</t>
  </si>
  <si>
    <t>PTN143</t>
  </si>
  <si>
    <t>Rusli Ibrahim</t>
  </si>
  <si>
    <t>PTN144</t>
  </si>
  <si>
    <t>Saifuddin</t>
  </si>
  <si>
    <t>PTN145</t>
  </si>
  <si>
    <t>Asiah</t>
  </si>
  <si>
    <t>PTN146</t>
  </si>
  <si>
    <t xml:space="preserve">Juli </t>
  </si>
  <si>
    <t>Juli Seutuy</t>
  </si>
  <si>
    <t>M. Yunus</t>
  </si>
  <si>
    <t>Juli Seutuy, Juli</t>
  </si>
  <si>
    <t>PTN147</t>
  </si>
  <si>
    <t>Effendi</t>
  </si>
  <si>
    <t>PTN148</t>
  </si>
  <si>
    <t>Zulhadi</t>
  </si>
  <si>
    <t xml:space="preserve">Ciherang </t>
  </si>
  <si>
    <t>PTN149</t>
  </si>
  <si>
    <t>Marliah</t>
  </si>
  <si>
    <t>PTN150</t>
  </si>
  <si>
    <t>Hasan</t>
  </si>
  <si>
    <t>PTN151</t>
  </si>
  <si>
    <t>Suryati</t>
  </si>
  <si>
    <t>Mr 337</t>
  </si>
  <si>
    <t>PTN152</t>
  </si>
  <si>
    <t>Tarmizi</t>
  </si>
  <si>
    <t>PTN153</t>
  </si>
  <si>
    <t>Saiful</t>
  </si>
  <si>
    <t>PTN154</t>
  </si>
  <si>
    <t>Arifin</t>
  </si>
  <si>
    <t>PTN155</t>
  </si>
  <si>
    <t>Ismail</t>
  </si>
  <si>
    <t>PTN156</t>
  </si>
  <si>
    <t>Kota Juang</t>
  </si>
  <si>
    <t>Geulanggang</t>
  </si>
  <si>
    <t>Hendri</t>
  </si>
  <si>
    <t>PTN157</t>
  </si>
  <si>
    <t>Faisal</t>
  </si>
  <si>
    <t>PTN158</t>
  </si>
  <si>
    <t>Basri</t>
  </si>
  <si>
    <t>PTN159</t>
  </si>
  <si>
    <t>Razari</t>
  </si>
  <si>
    <t>PTN160</t>
  </si>
  <si>
    <t>Hermanto</t>
  </si>
  <si>
    <t>PTN161</t>
  </si>
  <si>
    <t>PTN162</t>
  </si>
  <si>
    <t>Israridin</t>
  </si>
  <si>
    <t>PTN163</t>
  </si>
  <si>
    <t>Bakhar</t>
  </si>
  <si>
    <t>SMA</t>
  </si>
  <si>
    <t>Mr Jumbo</t>
  </si>
  <si>
    <t>PTN164</t>
  </si>
  <si>
    <t>PTN165</t>
  </si>
  <si>
    <t>Ismawardi</t>
  </si>
  <si>
    <t>PTN166</t>
  </si>
  <si>
    <t>Meunasah Blang</t>
  </si>
  <si>
    <t>Zulkifli</t>
  </si>
  <si>
    <t>PTN167</t>
  </si>
  <si>
    <t>Meunasah Dayah</t>
  </si>
  <si>
    <t>PTN168</t>
  </si>
  <si>
    <t>PTN169</t>
  </si>
  <si>
    <t>Baktiar</t>
  </si>
  <si>
    <t>PTN170</t>
  </si>
  <si>
    <t>Hasriadi</t>
  </si>
  <si>
    <t>Paloh Panyang</t>
  </si>
  <si>
    <t>PTN171</t>
  </si>
  <si>
    <t>PTN172</t>
  </si>
  <si>
    <t>PTN173</t>
  </si>
  <si>
    <t>Busri Ismail</t>
  </si>
  <si>
    <t>PTN174</t>
  </si>
  <si>
    <t>Bustami</t>
  </si>
  <si>
    <t>Ciherang Beruang</t>
  </si>
  <si>
    <t>PTN175</t>
  </si>
  <si>
    <t>Samsuar</t>
  </si>
  <si>
    <t>id_periode</t>
  </si>
  <si>
    <t>bulan_tanam</t>
  </si>
  <si>
    <t>luas_tanam_m2</t>
  </si>
  <si>
    <t>bulan_panen</t>
  </si>
  <si>
    <t>luas_panen_m2</t>
  </si>
  <si>
    <t>produksi_dalam_gunca</t>
  </si>
  <si>
    <t>gunca_kg</t>
  </si>
  <si>
    <t>pengeluaran_rp</t>
  </si>
  <si>
    <t>harga_jual_perkg</t>
  </si>
  <si>
    <t>hasil_panen_dijual</t>
  </si>
  <si>
    <t>status_pengelolaan</t>
  </si>
  <si>
    <t>jml_tanam_padi_1th</t>
  </si>
  <si>
    <t>jenis_lahan</t>
  </si>
  <si>
    <t>air_multi_tanam</t>
  </si>
  <si>
    <t>pemupukan</t>
  </si>
  <si>
    <t>jenis_pupuk</t>
  </si>
  <si>
    <t>pengendalian_hama</t>
  </si>
  <si>
    <t>jenis_hama</t>
  </si>
  <si>
    <t>penyakit_padi</t>
  </si>
  <si>
    <t>pestisida</t>
  </si>
  <si>
    <t>pengendalian_gulma</t>
  </si>
  <si>
    <t>cara_pengendalian_gulma</t>
  </si>
  <si>
    <t>PRD001</t>
  </si>
  <si>
    <t>nov - jan</t>
  </si>
  <si>
    <t>Januari</t>
  </si>
  <si>
    <t>5.000.000</t>
  </si>
  <si>
    <t>Tidak</t>
  </si>
  <si>
    <t>Milik sendiri</t>
  </si>
  <si>
    <t>Sawah irigasi</t>
  </si>
  <si>
    <t>Tidak Mencukupi</t>
  </si>
  <si>
    <t>Ada pemupukan</t>
  </si>
  <si>
    <t>NPK, Pupuk urea</t>
  </si>
  <si>
    <t>Ada</t>
  </si>
  <si>
    <t>Wereng, walang sangit</t>
  </si>
  <si>
    <t>Busuk batang</t>
  </si>
  <si>
    <t>Mencabut rumput</t>
  </si>
  <si>
    <t>PRD002</t>
  </si>
  <si>
    <t>mei - juli</t>
  </si>
  <si>
    <t>September</t>
  </si>
  <si>
    <t>Pupuk urea, NPK</t>
  </si>
  <si>
    <t>PRD003</t>
  </si>
  <si>
    <t>3.000.000</t>
  </si>
  <si>
    <t>Bagi hasil</t>
  </si>
  <si>
    <t>walang sangit, Wereng, Tikus</t>
  </si>
  <si>
    <t>PRD004</t>
  </si>
  <si>
    <t>walang sangit, Wereng</t>
  </si>
  <si>
    <t>PRD005</t>
  </si>
  <si>
    <t>November</t>
  </si>
  <si>
    <t>2.000.000</t>
  </si>
  <si>
    <t>Ya sebagian</t>
  </si>
  <si>
    <t>Siput Murbai/Keong, Wereng</t>
  </si>
  <si>
    <t>PRD006</t>
  </si>
  <si>
    <t>feb - apr</t>
  </si>
  <si>
    <t>Maret</t>
  </si>
  <si>
    <t>Siput Murbai/Keong</t>
  </si>
  <si>
    <t>PRD007</t>
  </si>
  <si>
    <t>walang sangit, Belalang, Siput Murbai/Keong</t>
  </si>
  <si>
    <t>PRD008</t>
  </si>
  <si>
    <t>PRD009</t>
  </si>
  <si>
    <t>1.000.000</t>
  </si>
  <si>
    <t>Pupuk urea, NPK, Pupuk Kandang</t>
  </si>
  <si>
    <t>walang sangit, Siput Murbai/Keong, Tikus</t>
  </si>
  <si>
    <t>PRD010</t>
  </si>
  <si>
    <t>walang sangit, Siput Murbai/Keong</t>
  </si>
  <si>
    <t>PRD011</t>
  </si>
  <si>
    <t>Pupuk urea, NPK, Pupuk SP-36, Pupuk kompos</t>
  </si>
  <si>
    <t>Wereng, walang sangit, Belalang, Siput Murbai/Keong</t>
  </si>
  <si>
    <t>Bercak daun, Busuk batang</t>
  </si>
  <si>
    <t>PRD012</t>
  </si>
  <si>
    <t>PRD013</t>
  </si>
  <si>
    <t>April</t>
  </si>
  <si>
    <t>2.500.000</t>
  </si>
  <si>
    <t>Kombinasi irigasi dan tadah hujan</t>
  </si>
  <si>
    <t>Pupuk urea, NPK, Pupuk SP-36</t>
  </si>
  <si>
    <t>Tikus, Tulo/burung pipit, walang sangit, Siput Murbai/Keong</t>
  </si>
  <si>
    <t>PRD014</t>
  </si>
  <si>
    <t>PRD015</t>
  </si>
  <si>
    <t>Wereng, Siput Murbai/Keong</t>
  </si>
  <si>
    <t>PRD016</t>
  </si>
  <si>
    <t>PRD017</t>
  </si>
  <si>
    <t>Wereng, walang sangit, Siput Murbai/Keong</t>
  </si>
  <si>
    <t>PRD018</t>
  </si>
  <si>
    <t>PRD019</t>
  </si>
  <si>
    <t>Kombinasi irigasi dan tadah hujan, Sawah irigasi</t>
  </si>
  <si>
    <t>Bercak daun, Busuk batang, Blas</t>
  </si>
  <si>
    <t>PRD020</t>
  </si>
  <si>
    <t>PRD021</t>
  </si>
  <si>
    <t>Tikus</t>
  </si>
  <si>
    <t>Bercak daun</t>
  </si>
  <si>
    <t>PRD022</t>
  </si>
  <si>
    <t>PRD023</t>
  </si>
  <si>
    <t>Pupuk urea, NPK, Pupuk SP-36, KCL</t>
  </si>
  <si>
    <t>Tikus, Wereng, Tulo/burung pipit, walang sangit, Hama putih, Belalang, Siput Murbai/Keong</t>
  </si>
  <si>
    <t>Hawar daun bakteri, Bercak daun, Busuk batang</t>
  </si>
  <si>
    <t>PRD024</t>
  </si>
  <si>
    <t>Tikus, Wereng, Tulo/burung pipit, walang sangit, Hama putih , Belalang, Siput Murbai/Keong</t>
  </si>
  <si>
    <t>PRD025</t>
  </si>
  <si>
    <t>Pupuk urea, NPK, Pupuk SP-36, KCL, Pupuk Kandang</t>
  </si>
  <si>
    <t>Tikus, Wereng, Tulo/burung pipit, walang sangit, Belalang, Siput Murbai/Keong</t>
  </si>
  <si>
    <t>PRD026</t>
  </si>
  <si>
    <t>PRD027</t>
  </si>
  <si>
    <t>Ya seluruhnya</t>
  </si>
  <si>
    <t>Tikus, Wereng, Tulo/burung pipit, penggerek batang padi, walang sangit, Hama putih , Belalang, Kepnding, Siput Murbai/Keong</t>
  </si>
  <si>
    <t>Blas, Hawar daun bakteri, Tungro, Bercak daun, Busuk batang</t>
  </si>
  <si>
    <t>PRD028</t>
  </si>
  <si>
    <t>agt - okt</t>
  </si>
  <si>
    <t>Desember</t>
  </si>
  <si>
    <t>PRD029</t>
  </si>
  <si>
    <t>Tikus, Wereng, Tulo/burung pipit, penggerek batang padi, walang sangit, Hama putih, Belalang, Siput Murbai/Keong</t>
  </si>
  <si>
    <t>Blas, Bercak daun, Busuk batang</t>
  </si>
  <si>
    <t>PRD030</t>
  </si>
  <si>
    <t>PRD031</t>
  </si>
  <si>
    <t>Tikus, Wereng, Tulo/burung pipit, penggerek batang padi, walang sangit, Hama putih, Belalang</t>
  </si>
  <si>
    <t>PRD032</t>
  </si>
  <si>
    <t>PRD033</t>
  </si>
  <si>
    <t>PRD034</t>
  </si>
  <si>
    <t>PRD035</t>
  </si>
  <si>
    <t>Tegalan/ladang</t>
  </si>
  <si>
    <t>Tikus, Wereng, walang sangit, Tulo/burung pipit, Belalang, Hama putih, Siput Murbai/Keong</t>
  </si>
  <si>
    <t>PRD036</t>
  </si>
  <si>
    <t>PRD037</t>
  </si>
  <si>
    <t>Mencukupi</t>
  </si>
  <si>
    <t>Hama putih, Tikus, Siput Murbai/Keong</t>
  </si>
  <si>
    <t>PRD038</t>
  </si>
  <si>
    <t>Tikus, Hama putih, Siput Murbai/Keong</t>
  </si>
  <si>
    <t>TIDAK ADA</t>
  </si>
  <si>
    <t>Menyemprot rumput</t>
  </si>
  <si>
    <t>PRD039</t>
  </si>
  <si>
    <t>Tikus, Siput Murbai/Keong</t>
  </si>
  <si>
    <t>Tidak Ada</t>
  </si>
  <si>
    <t>PRD040</t>
  </si>
  <si>
    <t>Oktober</t>
  </si>
  <si>
    <t>Siput Murbai/Keong, Tikus</t>
  </si>
  <si>
    <t>PRD041</t>
  </si>
  <si>
    <t>Februari</t>
  </si>
  <si>
    <t>1.500.000</t>
  </si>
  <si>
    <t>Blas</t>
  </si>
  <si>
    <t>Mencabut rumbut dan Menyemprot rumput</t>
  </si>
  <si>
    <t>PRD042</t>
  </si>
  <si>
    <t>Tikus, Wereng, Tulo/burung pipit, walang sangit, Siput Murbai/Keong</t>
  </si>
  <si>
    <t>PRD043</t>
  </si>
  <si>
    <t>PRD044</t>
  </si>
  <si>
    <t>PRD045</t>
  </si>
  <si>
    <t>PRD046</t>
  </si>
  <si>
    <t>PRD047</t>
  </si>
  <si>
    <t>PRD048</t>
  </si>
  <si>
    <t>PRD049</t>
  </si>
  <si>
    <t>Hawar daun bakteri</t>
  </si>
  <si>
    <t>PRD050</t>
  </si>
  <si>
    <t>PRD051</t>
  </si>
  <si>
    <t>Tikus, Hama putih , Siput Murbai/Keong</t>
  </si>
  <si>
    <t>Blas, Bercak daun</t>
  </si>
  <si>
    <t>PRD052</t>
  </si>
  <si>
    <t>PRD053</t>
  </si>
  <si>
    <t>8.000.000</t>
  </si>
  <si>
    <t>Bercak daun, Blas</t>
  </si>
  <si>
    <t>PRD054</t>
  </si>
  <si>
    <t>PRD055</t>
  </si>
  <si>
    <t>PRD056</t>
  </si>
  <si>
    <t>PRD057</t>
  </si>
  <si>
    <t>PRD058</t>
  </si>
  <si>
    <t>PRD059</t>
  </si>
  <si>
    <t>PRD060</t>
  </si>
  <si>
    <t>PRD061</t>
  </si>
  <si>
    <t>PRD062</t>
  </si>
  <si>
    <t>PRD063</t>
  </si>
  <si>
    <t>Tikus, Siput Murbai/Keong, Belalang</t>
  </si>
  <si>
    <t>PRD064</t>
  </si>
  <si>
    <t>PRD065</t>
  </si>
  <si>
    <t>Tikus, Siput Murbai/Keong, Wereng</t>
  </si>
  <si>
    <t>PRD066</t>
  </si>
  <si>
    <t>PRD200</t>
  </si>
  <si>
    <t>Tikus, Wereng, Hama putih, Siput Murbai/Keong</t>
  </si>
  <si>
    <t>Tungro, Busuk batang</t>
  </si>
  <si>
    <t>PRD201</t>
  </si>
  <si>
    <t>PRD202</t>
  </si>
  <si>
    <t>PRD203</t>
  </si>
  <si>
    <t>PRD204</t>
  </si>
  <si>
    <t>Tikus, Belalang, Siput Murbai/Keong</t>
  </si>
  <si>
    <t>PRD205</t>
  </si>
  <si>
    <t>PRD206</t>
  </si>
  <si>
    <t>1.600.000</t>
  </si>
  <si>
    <t>Pupuk urea, NPK, Pupuk SP-36, Pupuk Kandang</t>
  </si>
  <si>
    <t>Tikus, Wereng, Siput Murbai/Keong</t>
  </si>
  <si>
    <t>PRD207</t>
  </si>
  <si>
    <t>PRD208</t>
  </si>
  <si>
    <t>Wereng, Hama putih, Siput Murbai/Keong</t>
  </si>
  <si>
    <t>PRD209</t>
  </si>
  <si>
    <t>PRD210</t>
  </si>
  <si>
    <t>des - feb</t>
  </si>
  <si>
    <t>Wereng, penggerek batang padi, Tikus, walang sangit</t>
  </si>
  <si>
    <t>Blas, Busuk batang</t>
  </si>
  <si>
    <t>PRD211</t>
  </si>
  <si>
    <t>PRD212</t>
  </si>
  <si>
    <t>2.200.000</t>
  </si>
  <si>
    <t>PRD213</t>
  </si>
  <si>
    <t>PRD214</t>
  </si>
  <si>
    <t>PRD215</t>
  </si>
  <si>
    <t>Tikus, Wereng, walang sangit, Belalang, Siput Murbai/Keong</t>
  </si>
  <si>
    <t>PRD216</t>
  </si>
  <si>
    <t>Blas, Hawar daun bakteri, Bercak daun, Busuk batang</t>
  </si>
  <si>
    <t>PRD217</t>
  </si>
  <si>
    <t>2.700.000</t>
  </si>
  <si>
    <t>Tikus, Wereng, walang sangit, Siput Murbai/Keong</t>
  </si>
  <si>
    <t>Blas, Bercak daun, Hawar daun bakteri, Busuk batang</t>
  </si>
  <si>
    <t>PRD218</t>
  </si>
  <si>
    <t>Tikus, Wereng, walang sangit, Hama putih, Siput Murbai/Keong</t>
  </si>
  <si>
    <t>Blas, Hawar daun bakteri, Hawar pelepah daun, Busuk batang</t>
  </si>
  <si>
    <t>PRD219</t>
  </si>
  <si>
    <t>8.500.000</t>
  </si>
  <si>
    <t>Blas, Tungro, Hawar pelepah daun, Busuk batang</t>
  </si>
  <si>
    <t>PRD067</t>
  </si>
  <si>
    <t>2.300.000</t>
  </si>
  <si>
    <t>Sawah irigasi, Sawah tadah hujan</t>
  </si>
  <si>
    <t>Pupuk urea</t>
  </si>
  <si>
    <t>Tikus, Wereng, Belalang</t>
  </si>
  <si>
    <t>PRD068</t>
  </si>
  <si>
    <t>2.150.000</t>
  </si>
  <si>
    <t>Tikus, Siput Murbai/Keong, Wereng, Tulo/burung pipit</t>
  </si>
  <si>
    <t>PRD069</t>
  </si>
  <si>
    <t>PRD070</t>
  </si>
  <si>
    <t>1.100.000</t>
  </si>
  <si>
    <t>PRD071</t>
  </si>
  <si>
    <t>PRD072</t>
  </si>
  <si>
    <t>Tikus, Siput Murbai/Keong, Wereng, Tulo/burung pipit, penggerek batang padi, walang sangit</t>
  </si>
  <si>
    <t>PRD073</t>
  </si>
  <si>
    <t>-</t>
  </si>
  <si>
    <t>Sawah irigasi, Tegalan/ladang</t>
  </si>
  <si>
    <t>PRD074</t>
  </si>
  <si>
    <t>PRD075</t>
  </si>
  <si>
    <t>PRD076</t>
  </si>
  <si>
    <t>PRD077</t>
  </si>
  <si>
    <t>4.000.000</t>
  </si>
  <si>
    <t>Sawah irigasi, Kombinasi irigasi dan tadah hujan</t>
  </si>
  <si>
    <t>PRD078</t>
  </si>
  <si>
    <t>4.200.000</t>
  </si>
  <si>
    <t>Herbisida dan Mencabut rumput</t>
  </si>
  <si>
    <t>PRD079</t>
  </si>
  <si>
    <t>3.800.000</t>
  </si>
  <si>
    <t>PRD080</t>
  </si>
  <si>
    <t>PRD081</t>
  </si>
  <si>
    <t>PRD082</t>
  </si>
  <si>
    <t>PRD083</t>
  </si>
  <si>
    <t>PRD084</t>
  </si>
  <si>
    <t>PRD085</t>
  </si>
  <si>
    <t>PRD086</t>
  </si>
  <si>
    <t>PRD087</t>
  </si>
  <si>
    <t>PRD088</t>
  </si>
  <si>
    <t>PRD089</t>
  </si>
  <si>
    <t>PRD090</t>
  </si>
  <si>
    <t>35.000.000</t>
  </si>
  <si>
    <t>PRD091</t>
  </si>
  <si>
    <t>PRD092</t>
  </si>
  <si>
    <t>PRD093</t>
  </si>
  <si>
    <t>4.100.000</t>
  </si>
  <si>
    <t>PRD094</t>
  </si>
  <si>
    <t>3.700.00</t>
  </si>
  <si>
    <t>PRD095</t>
  </si>
  <si>
    <t>Sawah tadah hujan</t>
  </si>
  <si>
    <t>KCL</t>
  </si>
  <si>
    <t>PRD096</t>
  </si>
  <si>
    <t>PRD097</t>
  </si>
  <si>
    <t>PRD098</t>
  </si>
  <si>
    <t>Tikus, Siput Murbai/Keong, walang sangit, Tulo/burung pipit, Wereng</t>
  </si>
  <si>
    <t>PRD099</t>
  </si>
  <si>
    <t>Tikus, Siput Murbai/Keong, Tulo/burung pipit, walang sangit</t>
  </si>
  <si>
    <t>PRD100</t>
  </si>
  <si>
    <t>PRD101</t>
  </si>
  <si>
    <t>PRD102</t>
  </si>
  <si>
    <t>PRD103</t>
  </si>
  <si>
    <t>PRD104</t>
  </si>
  <si>
    <t>PRD105</t>
  </si>
  <si>
    <t>Tikus, Tulo/burung pipit, Wereng, penggerek batang padi</t>
  </si>
  <si>
    <t>PRD106</t>
  </si>
  <si>
    <t>Agustus</t>
  </si>
  <si>
    <t>PRD107</t>
  </si>
  <si>
    <t>PRD108</t>
  </si>
  <si>
    <t>Tikus, Tulo/burung pipit, Siput Murbai/Keong</t>
  </si>
  <si>
    <t>Mencabut rumput dan Membuang keong</t>
  </si>
  <si>
    <t>PRD109</t>
  </si>
  <si>
    <t>Tikus, Wereng, Tulo/burung pipit, walang sangit, Siput Murbai/Keong, Kepnding</t>
  </si>
  <si>
    <t>PRD110</t>
  </si>
  <si>
    <t>Tikus, Tulo/burung pipit, Siput Murbai/Keong, Kepnding</t>
  </si>
  <si>
    <t>PRD111</t>
  </si>
  <si>
    <t>PRD112</t>
  </si>
  <si>
    <t>PRD113</t>
  </si>
  <si>
    <t>Tikus, Tulo/burung pipit, Siput Murbai/Keong, Hama putih</t>
  </si>
  <si>
    <t>PRD114</t>
  </si>
  <si>
    <t xml:space="preserve">Tikus, Tulo/burung pipit, Siput Murbai/Keong, Hama putih </t>
  </si>
  <si>
    <t>PRD115</t>
  </si>
  <si>
    <t>Mei</t>
  </si>
  <si>
    <t>Tidak ada pemupukan</t>
  </si>
  <si>
    <t>Tidak ada</t>
  </si>
  <si>
    <t xml:space="preserve">Tulo/burung pipit, Siput Murbai/Keong, Hama putih </t>
  </si>
  <si>
    <t>PRD116</t>
  </si>
  <si>
    <t>Tikus, Tulo/burung pipit, Siput Murbai/Keong, Hama putih , walang sangit</t>
  </si>
  <si>
    <t>PRD117</t>
  </si>
  <si>
    <t>PRD118</t>
  </si>
  <si>
    <t>10.500.000</t>
  </si>
  <si>
    <t>Wereng, Hama putih, Tikus, Tulo/burung pipit</t>
  </si>
  <si>
    <t>PRD119</t>
  </si>
  <si>
    <t>PRD120</t>
  </si>
  <si>
    <t>10.000.000</t>
  </si>
  <si>
    <t>Wereng, Tulo/burung pipit, Hama putih</t>
  </si>
  <si>
    <t>PRD121</t>
  </si>
  <si>
    <t>PRD122</t>
  </si>
  <si>
    <t>PRD123</t>
  </si>
  <si>
    <t>2.900.000</t>
  </si>
  <si>
    <t>PRD124</t>
  </si>
  <si>
    <t>NPK, Pupuk SP-36, KCL, Pupuk urea</t>
  </si>
  <si>
    <t>Tikus, Wereng, Tulo/burung pipit, Siput Murbai/Keong</t>
  </si>
  <si>
    <t>Herbisida</t>
  </si>
  <si>
    <t>PRD125</t>
  </si>
  <si>
    <t>PRD126</t>
  </si>
  <si>
    <t>PRD127</t>
  </si>
  <si>
    <t>PRD128</t>
  </si>
  <si>
    <t>1.300.000</t>
  </si>
  <si>
    <t>Tikus, Wereng, Tulo/burung pipit, Kepnding</t>
  </si>
  <si>
    <t>PRD129</t>
  </si>
  <si>
    <t>PRD130</t>
  </si>
  <si>
    <t>PRD131</t>
  </si>
  <si>
    <t>PRD132</t>
  </si>
  <si>
    <t>7.000.000</t>
  </si>
  <si>
    <t>Wereng, Tulo/burung pipit</t>
  </si>
  <si>
    <t>PRD133</t>
  </si>
  <si>
    <t>PRD134</t>
  </si>
  <si>
    <t>Tikus, Tulo/burung pipit</t>
  </si>
  <si>
    <t>PRD135</t>
  </si>
  <si>
    <t>PRD136</t>
  </si>
  <si>
    <t>PRD137</t>
  </si>
  <si>
    <t>PRD138</t>
  </si>
  <si>
    <t>PRD139</t>
  </si>
  <si>
    <t>PRD140</t>
  </si>
  <si>
    <t>PRD141</t>
  </si>
  <si>
    <t>PRD142</t>
  </si>
  <si>
    <t>PRD143</t>
  </si>
  <si>
    <t>PRD144</t>
  </si>
  <si>
    <t>5.100.000</t>
  </si>
  <si>
    <t>PRD145</t>
  </si>
  <si>
    <t>PRD146</t>
  </si>
  <si>
    <t>PRD147</t>
  </si>
  <si>
    <t>PRD148</t>
  </si>
  <si>
    <t>PRD149</t>
  </si>
  <si>
    <t>PRD150</t>
  </si>
  <si>
    <t>PRD151</t>
  </si>
  <si>
    <t>4.500.000</t>
  </si>
  <si>
    <t>PRD152</t>
  </si>
  <si>
    <t>7.300.000</t>
  </si>
  <si>
    <t>PRD153</t>
  </si>
  <si>
    <t>6.800.000</t>
  </si>
  <si>
    <t>PRD154</t>
  </si>
  <si>
    <t>8.300.000</t>
  </si>
  <si>
    <t>PRD155</t>
  </si>
  <si>
    <t>PRD156</t>
  </si>
  <si>
    <t>8.600.000</t>
  </si>
  <si>
    <t>PRD157</t>
  </si>
  <si>
    <t>7.500.000</t>
  </si>
  <si>
    <t>PRD158</t>
  </si>
  <si>
    <t>PRD159</t>
  </si>
  <si>
    <t>PRD160</t>
  </si>
  <si>
    <t>PRD161</t>
  </si>
  <si>
    <t>PRD162</t>
  </si>
  <si>
    <t>PRD163</t>
  </si>
  <si>
    <t>PRD164</t>
  </si>
  <si>
    <t>PRD165</t>
  </si>
  <si>
    <t>PRD166</t>
  </si>
  <si>
    <t>PRD167</t>
  </si>
  <si>
    <t>PRD168</t>
  </si>
  <si>
    <t>PRD169</t>
  </si>
  <si>
    <t>PRD170</t>
  </si>
  <si>
    <t>PRD171</t>
  </si>
  <si>
    <t>PRD172</t>
  </si>
  <si>
    <t>Bercak daun, Hawar daun bakteri</t>
  </si>
  <si>
    <t>PRD173</t>
  </si>
  <si>
    <t>PRD174</t>
  </si>
  <si>
    <t>PRD175</t>
  </si>
  <si>
    <t>PRD176</t>
  </si>
  <si>
    <t>PRD177</t>
  </si>
  <si>
    <t>PRD178</t>
  </si>
  <si>
    <t>PRD179</t>
  </si>
  <si>
    <t>PRD180</t>
  </si>
  <si>
    <t>PRD181</t>
  </si>
  <si>
    <t>Tikus, Wereng, Tulo/burung pipit, penggerek batang padi, walang sangit, Siput Murbai/Keong</t>
  </si>
  <si>
    <t>Blas, Busuk batang, Tungro</t>
  </si>
  <si>
    <t>6.000.0000</t>
  </si>
  <si>
    <t>2.500.0000</t>
  </si>
  <si>
    <t>11.000.000</t>
  </si>
  <si>
    <t>3.750.000</t>
  </si>
  <si>
    <t>Blas, Hawar daun bakteri, Bercak daun, Busuk batang, Tungro</t>
  </si>
  <si>
    <t>10.875.000</t>
  </si>
  <si>
    <t>3.125.000</t>
  </si>
  <si>
    <t>3.200.000</t>
  </si>
  <si>
    <t>Pupuk urea, KCL</t>
  </si>
  <si>
    <t>Tungro, Bercak daun, Busuk batang</t>
  </si>
  <si>
    <t>6.000.000</t>
  </si>
  <si>
    <t>PRD182</t>
  </si>
  <si>
    <t>PRD183</t>
  </si>
  <si>
    <t>PRD184</t>
  </si>
  <si>
    <t>PRD185</t>
  </si>
  <si>
    <t>PRD186</t>
  </si>
  <si>
    <t>PRD187</t>
  </si>
  <si>
    <t>PRD188</t>
  </si>
  <si>
    <t>PRD189</t>
  </si>
  <si>
    <t>PRD190</t>
  </si>
  <si>
    <t>PRD191</t>
  </si>
  <si>
    <t>PRN192</t>
  </si>
  <si>
    <t>Pupuk urea, NPK, Phonska</t>
  </si>
  <si>
    <t>Tikus, Wereng, Tulo/burung pipit</t>
  </si>
  <si>
    <t>Hawar pelepah daun</t>
  </si>
  <si>
    <t>PRN193</t>
  </si>
  <si>
    <t>PRN194</t>
  </si>
  <si>
    <t>PRN195</t>
  </si>
  <si>
    <t>PRN196</t>
  </si>
  <si>
    <t>Pupuk urea, Phonska</t>
  </si>
  <si>
    <t>PRN197</t>
  </si>
  <si>
    <t>PRN198</t>
  </si>
  <si>
    <t>Tikus, Tulo/burung pipit, Belalang</t>
  </si>
  <si>
    <t>PRN199</t>
  </si>
  <si>
    <t>PRN200</t>
  </si>
  <si>
    <t>Tikus, Tulo/burung pipit, walang sangit</t>
  </si>
  <si>
    <t>PRN201</t>
  </si>
  <si>
    <t>PRN202</t>
  </si>
  <si>
    <t>Tikus, Wereng, Tulo/burung pipit, walang sangit</t>
  </si>
  <si>
    <t>PRN203</t>
  </si>
  <si>
    <t>PRN204</t>
  </si>
  <si>
    <t>PRN205</t>
  </si>
  <si>
    <t>PRN206</t>
  </si>
  <si>
    <t>PRN207</t>
  </si>
  <si>
    <t>PRN208</t>
  </si>
  <si>
    <t>Blas, Hawar pelepah daun</t>
  </si>
  <si>
    <t>PRN209</t>
  </si>
  <si>
    <t>PRN210</t>
  </si>
  <si>
    <t>PRN211</t>
  </si>
  <si>
    <t>PRN212</t>
  </si>
  <si>
    <t>3.500.000</t>
  </si>
  <si>
    <t>Pupuk urea, Pupuk SP-36, Phonska</t>
  </si>
  <si>
    <t>Tikus, walang sangit</t>
  </si>
  <si>
    <t>PRN213</t>
  </si>
  <si>
    <t>PRN214</t>
  </si>
  <si>
    <t>PRN215</t>
  </si>
  <si>
    <t>PRN216</t>
  </si>
  <si>
    <t>PRN217</t>
  </si>
  <si>
    <t>PRN218</t>
  </si>
  <si>
    <t>Pupuk urea, NPK, Pupuk Kandang, Pupuk kompos</t>
  </si>
  <si>
    <t>PRN219</t>
  </si>
  <si>
    <t>PRN220</t>
  </si>
  <si>
    <t>Pupuk urea, Phonska, Mutiara</t>
  </si>
  <si>
    <t>PRN221</t>
  </si>
  <si>
    <t>PRN222</t>
  </si>
  <si>
    <t>Tikus, Wereng, walang sangit</t>
  </si>
  <si>
    <t>PRN223</t>
  </si>
  <si>
    <t>PRN224</t>
  </si>
  <si>
    <t>Tikus, Belalang</t>
  </si>
  <si>
    <t>PRN225</t>
  </si>
  <si>
    <t>PRN226</t>
  </si>
  <si>
    <t>PRN227</t>
  </si>
  <si>
    <t>PRN228</t>
  </si>
  <si>
    <t>Pupuk urea, KCL, Phonska</t>
  </si>
  <si>
    <t>PRN229</t>
  </si>
  <si>
    <t>PRN230</t>
  </si>
  <si>
    <t>PRN231</t>
  </si>
  <si>
    <t>PRN232</t>
  </si>
  <si>
    <t>PRN233</t>
  </si>
  <si>
    <t>PRN234</t>
  </si>
  <si>
    <t>PRN235</t>
  </si>
  <si>
    <t>4.500.001</t>
  </si>
  <si>
    <t>PRN236</t>
  </si>
  <si>
    <t>PRN238</t>
  </si>
  <si>
    <t>PRN240</t>
  </si>
  <si>
    <t>1.500.001</t>
  </si>
  <si>
    <t>PRN242</t>
  </si>
  <si>
    <t>PRN244</t>
  </si>
  <si>
    <t>PRN246</t>
  </si>
  <si>
    <t>PRN248</t>
  </si>
  <si>
    <t>9.000.000</t>
  </si>
  <si>
    <t>PRN250</t>
  </si>
  <si>
    <t>PRN251</t>
  </si>
  <si>
    <t>PRN252</t>
  </si>
  <si>
    <t>PRN253</t>
  </si>
  <si>
    <t>PRN254</t>
  </si>
  <si>
    <t>Pupuk urea, Phonska, ZA</t>
  </si>
  <si>
    <t>PRN255</t>
  </si>
  <si>
    <t>PRN256</t>
  </si>
  <si>
    <t>PRN257</t>
  </si>
  <si>
    <t>PRN258</t>
  </si>
  <si>
    <t>PRN259</t>
  </si>
  <si>
    <t>PRN260</t>
  </si>
  <si>
    <t>PRN261</t>
  </si>
  <si>
    <t>PRN262</t>
  </si>
  <si>
    <t>Pupuk urea, Pupuk SP-36</t>
  </si>
  <si>
    <t>Tikus, Wereng</t>
  </si>
  <si>
    <t>PRN263</t>
  </si>
  <si>
    <t>PRN264</t>
  </si>
  <si>
    <t>Pupuk urea, KCL, Phonska, ZA</t>
  </si>
  <si>
    <t>PRN265</t>
  </si>
  <si>
    <t>PRN266</t>
  </si>
  <si>
    <t>Hawar pelepah daun, Busuk batang</t>
  </si>
  <si>
    <t>PRN267</t>
  </si>
  <si>
    <t>PRN268</t>
  </si>
  <si>
    <t>PRN269</t>
  </si>
  <si>
    <t>PRN270</t>
  </si>
  <si>
    <t>PRN271</t>
  </si>
  <si>
    <t>pembajakan_lahan_modern</t>
  </si>
  <si>
    <t>pengairan_sumur_bor</t>
  </si>
  <si>
    <t>pengairan_pompa_air</t>
  </si>
  <si>
    <t>penyemprotan_pompa_tangan</t>
  </si>
  <si>
    <t>penyemprotan_pompa_elektrik</t>
  </si>
  <si>
    <t>panen_mesin_potong</t>
  </si>
  <si>
    <t>pakai_internet</t>
  </si>
  <si>
    <t>info_penyuluh</t>
  </si>
  <si>
    <t>info_keuchik</t>
  </si>
  <si>
    <t>info_keujrun_blang</t>
  </si>
  <si>
    <t>anggota_kelompok_tani</t>
  </si>
  <si>
    <t>tahu_katam</t>
  </si>
  <si>
    <t>tahu_pergeseran_musim</t>
  </si>
  <si>
    <t>respon_pergeseran_musim</t>
  </si>
  <si>
    <t>pernah_gagal_tanam</t>
  </si>
  <si>
    <t>penyebab_gagal</t>
  </si>
  <si>
    <t>teknologi_lain</t>
  </si>
  <si>
    <t>saran</t>
  </si>
  <si>
    <t>Ya</t>
  </si>
  <si>
    <t>Ikut keujrun blang</t>
  </si>
  <si>
    <t>Kemarau</t>
  </si>
  <si>
    <t>Bibit dan pupuk lebih baik disediakan yang jenis varietas pro petani</t>
  </si>
  <si>
    <t>Pihak dinas pertanian menyediakan bibit dan pupuk yang memadai untuk para petani</t>
  </si>
  <si>
    <t>Ikut penyuluh, Ikut keujrun blang</t>
  </si>
  <si>
    <t>Adanya kalender tanam</t>
  </si>
  <si>
    <t>Informasi aktual tentang musim padi dapat diinformasikan secara disiplin</t>
  </si>
  <si>
    <t>Ikut pengumuman desa, Ikut keujrun blang</t>
  </si>
  <si>
    <t>Ikut pengumuman desa</t>
  </si>
  <si>
    <t>edukasi kalender tanam disitu</t>
  </si>
  <si>
    <t>Banjir, Kemarau</t>
  </si>
  <si>
    <t>Suhu ektrim</t>
  </si>
  <si>
    <t>edukasi cuaca untuk musim tanam</t>
  </si>
  <si>
    <t>Ikut pengumuman desa, Ikut kelompok tani, Ikut keujrun blang</t>
  </si>
  <si>
    <t>edukasi kalender tanam yang anti gagal panen</t>
  </si>
  <si>
    <t>Ikut penyuluh</t>
  </si>
  <si>
    <t>Ikut pengumuman desa, Ikut kelompok tani, Ikut penyuluh, Ikut keujrun blang</t>
  </si>
  <si>
    <t>Harapannya semoga informasi cuaca dapat diinfokan secara baik, jadi tidak gagal panen</t>
  </si>
  <si>
    <t>Ikut pengumuman desa, Ikut kelompok tani, Mandiri, Ikut keujrun blang</t>
  </si>
  <si>
    <t>edukasi cuaca ekstrim supaya tidak gagal panen</t>
  </si>
  <si>
    <t xml:space="preserve">- </t>
  </si>
  <si>
    <t>Ada kalender tanam digital</t>
  </si>
  <si>
    <t>Ikut pengumuman desa, Ikut kelompok tani</t>
  </si>
  <si>
    <t>Kalender Musim Tanam Digital</t>
  </si>
  <si>
    <t>Banjir</t>
  </si>
  <si>
    <t>Mandiri</t>
  </si>
  <si>
    <t>Ikut kelompok tani</t>
  </si>
  <si>
    <t>Kemarau, Hujan tidak menentu</t>
  </si>
  <si>
    <t>Banjir, Hujan deras</t>
  </si>
  <si>
    <t>Banjir, Kemarau, Hujan deras</t>
  </si>
  <si>
    <t>Banjir, Kemarau, Hujan tidak menentu</t>
  </si>
  <si>
    <t>Semoga lahan untuk bertani lebih luas</t>
  </si>
  <si>
    <t>Sistem pengairan lebih baik</t>
  </si>
  <si>
    <t>Petani memerlukan bantuan sumur bor</t>
  </si>
  <si>
    <t>Ingin pengendalian harga gabah lebih baik</t>
  </si>
  <si>
    <t>Bantuan sumur bor untuk petani</t>
  </si>
  <si>
    <t>Pembangunan irigasi desa</t>
  </si>
  <si>
    <t>Irigasi yang layak</t>
  </si>
  <si>
    <t xml:space="preserve">Irigasi  </t>
  </si>
  <si>
    <t>Selesaikan masalah lahan irigasi</t>
  </si>
  <si>
    <t>Irigasi tolong</t>
  </si>
  <si>
    <t>Perluasan irigasi</t>
  </si>
  <si>
    <t>Bantuan irigasi</t>
  </si>
  <si>
    <t>Kemarau, Banjir</t>
  </si>
  <si>
    <t>Semoga jalur irigasi dibangun</t>
  </si>
  <si>
    <t xml:space="preserve">Pembangunan irigasi </t>
  </si>
  <si>
    <t>Hama</t>
  </si>
  <si>
    <t>Ikut pengumuman desa, Ikut penyuluh, Ikut keujrun blang</t>
  </si>
  <si>
    <t>Adanya informasi tentang pengendalian hama dari penyuluh biar tidak ada gagal panen lagi</t>
  </si>
  <si>
    <t>Ikut pengumuman desa, Ikut penyuluh</t>
  </si>
  <si>
    <t>Penyediaan bibit unggul</t>
  </si>
  <si>
    <t>Menyediakan alat pertanian untuk petani</t>
  </si>
  <si>
    <t>Menyediakan bibit berkualitas</t>
  </si>
  <si>
    <t>Banyak memberikan edukasi kepada petani</t>
  </si>
  <si>
    <t>Memberikan penyuluhan untuk membuat padi tidak gagal panen</t>
  </si>
  <si>
    <t>Harga jual di stabilkan</t>
  </si>
  <si>
    <t>Menyediakan alat pertanian gratis</t>
  </si>
  <si>
    <t>Memberikan solusi terkait hama</t>
  </si>
  <si>
    <t>Memberikan informasi tentang musim tanam</t>
  </si>
  <si>
    <t>Menyediakan alat pertanian lebih</t>
  </si>
  <si>
    <t>Memberikan edukasi dan solusi terhadap petani</t>
  </si>
  <si>
    <t>Penyuluh lebih sering mengontrol petani di sawah</t>
  </si>
  <si>
    <t>Memberikan edukasi tentang teknologi yang lebih modern</t>
  </si>
  <si>
    <t>Memberikan bibit unggul agar hasil panen lebih bagus</t>
  </si>
  <si>
    <t>Ikut pengumuman desa, Ikut kelompok tani, Ikut penyuluh</t>
  </si>
  <si>
    <t>Memberikan edukasi tentang teknologi terbaru</t>
  </si>
  <si>
    <t>Menghasilkan harga jual agar para petani tidak mengalami kerugian</t>
  </si>
  <si>
    <t>Memberikan informasi terkini tentang cuaca, hama, penyakit, dll</t>
  </si>
  <si>
    <t>Para kelompok tani lebih dikasi edukasi lagi dari pihak terkait agar lebih paham masalah pertanian</t>
  </si>
  <si>
    <t>Pelatihan tentang pertanian</t>
  </si>
  <si>
    <t>Bantuan melalui dinas pertanian seperti bibit unggul/obat</t>
  </si>
  <si>
    <t>Ikut pengumuman desa, Ikut kelompok tani, Ikut penyuluh, Ikut siaran radio/tv, Ikut keujrun blang</t>
  </si>
  <si>
    <t>Dinas pertanian dapat turun langsung ke lapangan untuk memberikan arahan langsung ke petani dengan edukasi masalah tanah, ptt, dll</t>
  </si>
  <si>
    <t>Pemerintah menjaga harga pasar agar tetap stabil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</si>
</sst>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"/>
    <numFmt numFmtId="165" formatCode="0.000000"/>
    <numFmt numFmtId="166" formatCode="0.000"/>
    <numFmt numFmtId="167" formatCode="#,##0.000"/>
    <numFmt numFmtId="168" formatCode="0.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System-u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vertical="top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 shrinkToFit="0" wrapText="1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horizontal="left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4" fontId="0" numFmtId="0" xfId="0" applyAlignment="1" applyFont="1">
      <alignment readingOrder="0"/>
    </xf>
    <xf borderId="0" fillId="4" fontId="0" numFmtId="0" xfId="0" applyFont="1"/>
    <xf borderId="0" fillId="4" fontId="3" numFmtId="0" xfId="0" applyAlignment="1" applyFont="1">
      <alignment horizontal="left"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left" readingOrder="0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0" fillId="2" fontId="2" numFmtId="166" xfId="0" applyAlignment="1" applyFont="1" applyNumberFormat="1">
      <alignment readingOrder="0" shrinkToFit="0" vertical="center" wrapText="0"/>
    </xf>
    <xf borderId="0" fillId="2" fontId="2" numFmtId="1" xfId="0" applyAlignment="1" applyFont="1" applyNumberFormat="1">
      <alignment horizontal="left"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167" xfId="0" applyAlignment="1" applyFont="1" applyNumberFormat="1">
      <alignment readingOrder="0" shrinkToFit="0" vertical="center" wrapText="0"/>
    </xf>
    <xf borderId="0" fillId="2" fontId="2" numFmtId="168" xfId="0" applyAlignment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horizontal="left"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2" numFmtId="166" xfId="0" applyAlignment="1" applyFont="1" applyNumberForma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horizontal="left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horizontal="left"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4" numFmtId="0" xfId="0" applyAlignment="1" applyFont="1">
      <alignment readingOrder="0" shrinkToFit="0" vertical="bottom" wrapText="0"/>
    </xf>
    <xf borderId="0" fillId="5" fontId="2" numFmtId="1" xfId="0" applyAlignment="1" applyFont="1" applyNumberFormat="1">
      <alignment horizontal="left" shrinkToFit="0" vertical="center" wrapText="0"/>
    </xf>
    <xf borderId="0" fillId="5" fontId="4" numFmtId="0" xfId="0" applyAlignment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0" fillId="5" fontId="4" numFmtId="0" xfId="0" applyAlignment="1" applyFont="1">
      <alignment horizontal="left" shrinkToFit="0" vertical="bottom" wrapText="0"/>
    </xf>
    <xf borderId="0" fillId="5" fontId="4" numFmtId="0" xfId="0" applyAlignment="1" applyFont="1">
      <alignment shrinkToFit="0" vertical="bottom" wrapText="0"/>
    </xf>
    <xf borderId="0" fillId="5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5" fontId="4" numFmtId="0" xfId="0" applyAlignment="1" applyFont="1">
      <alignment readingOrder="0" shrinkToFit="0" vertical="bottom" wrapText="0"/>
    </xf>
    <xf borderId="0" fillId="5" fontId="4" numFmtId="166" xfId="0" applyAlignment="1" applyFont="1" applyNumberFormat="1">
      <alignment shrinkToFit="0" vertical="bottom" wrapText="0"/>
    </xf>
    <xf borderId="0" fillId="5" fontId="4" numFmtId="1" xfId="0" applyAlignment="1" applyFont="1" applyNumberFormat="1">
      <alignment horizontal="left" shrinkToFit="0" vertical="bottom" wrapText="0"/>
    </xf>
    <xf borderId="0" fillId="5" fontId="4" numFmtId="1" xfId="0" applyAlignment="1" applyFont="1" applyNumberFormat="1">
      <alignment horizontal="left" readingOrder="0" shrinkToFit="0" vertical="bottom" wrapText="0"/>
    </xf>
    <xf borderId="0" fillId="5" fontId="4" numFmtId="166" xfId="0" applyAlignment="1" applyFont="1" applyNumberFormat="1">
      <alignment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horizontal="left"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horizontal="left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166" xfId="0" applyAlignment="1" applyFont="1" applyNumberFormat="1">
      <alignment readingOrder="0" shrinkToFit="0" vertical="center" wrapText="0"/>
    </xf>
    <xf borderId="0" fillId="7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1" fillId="8" fontId="2" numFmtId="0" xfId="0" applyAlignment="1" applyBorder="1" applyFill="1" applyFont="1">
      <alignment readingOrder="0"/>
    </xf>
    <xf borderId="1" fillId="8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8" fontId="2" numFmtId="0" xfId="0" applyBorder="1" applyFont="1"/>
    <xf borderId="1" fillId="0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Border="1" applyFont="1"/>
    <xf borderId="1" fillId="7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riodeTana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322" displayName="Periode_Tanam_Details" name="Periode_Tanam_Details" id="1">
  <tableColumns count="23">
    <tableColumn name="id_periode" id="1"/>
    <tableColumn name="id_petani" id="2"/>
    <tableColumn name="bulan_tanam" id="3"/>
    <tableColumn name="luas_tanam_m2" id="4"/>
    <tableColumn name="bulan_panen" id="5"/>
    <tableColumn name="luas_panen_m2" id="6"/>
    <tableColumn name="produksi_dalam_gunca" id="7"/>
    <tableColumn name="gunca_kg" id="8"/>
    <tableColumn name="pengeluaran_rp" id="9"/>
    <tableColumn name="harga_jual_perkg" id="10"/>
    <tableColumn name="hasil_panen_dijual" id="11"/>
    <tableColumn name="status_pengelolaan" id="12"/>
    <tableColumn name="jml_tanam_padi_1th" id="13"/>
    <tableColumn name="jenis_lahan" id="14"/>
    <tableColumn name="air_multi_tanam" id="15"/>
    <tableColumn name="pemupukan" id="16"/>
    <tableColumn name="jenis_pupuk" id="17"/>
    <tableColumn name="pengendalian_hama" id="18"/>
    <tableColumn name="jenis_hama" id="19"/>
    <tableColumn name="penyakit_padi" id="20"/>
    <tableColumn name="pestisida" id="21"/>
    <tableColumn name="pengendalian_gulma" id="22"/>
    <tableColumn name="cara_pengendalian_gulma" id="23"/>
  </tableColumns>
  <tableStyleInfo name="PeriodeTan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4.14"/>
    <col customWidth="1" min="3" max="3" width="19.57"/>
    <col customWidth="1" min="4" max="4" width="15.29"/>
    <col customWidth="1" min="5" max="5" width="20.0"/>
    <col customWidth="1" min="6" max="6" width="14.0"/>
    <col customWidth="1" min="7" max="7" width="26.43"/>
    <col customWidth="1" min="8" max="8" width="21.14"/>
    <col customWidth="1" min="9" max="9" width="17.29"/>
    <col customWidth="1" min="10" max="10" width="26.14"/>
    <col customWidth="1" min="11" max="11" width="24.14"/>
    <col customWidth="1" min="12" max="12" width="20.29"/>
    <col customWidth="1" min="13" max="13" width="24.14"/>
    <col customWidth="1" min="14" max="14" width="46.71"/>
    <col customWidth="1" min="15" max="15" width="25.57"/>
    <col customWidth="1" min="16" max="16" width="28.57"/>
    <col customWidth="1" min="17" max="17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6"/>
      <c r="G2" s="4" t="s">
        <v>22</v>
      </c>
      <c r="H2" s="4" t="s">
        <v>23</v>
      </c>
      <c r="I2" s="4">
        <v>62.0</v>
      </c>
      <c r="J2" s="7" t="s">
        <v>24</v>
      </c>
      <c r="K2" s="8"/>
      <c r="L2" s="4" t="s">
        <v>25</v>
      </c>
      <c r="M2" s="4">
        <v>2005.0</v>
      </c>
      <c r="N2" s="9" t="s">
        <v>26</v>
      </c>
      <c r="O2" s="6">
        <v>3000.0</v>
      </c>
      <c r="P2" s="4" t="s">
        <v>27</v>
      </c>
      <c r="Q2" s="4">
        <v>120.0</v>
      </c>
    </row>
    <row r="3">
      <c r="A3" s="4" t="s">
        <v>28</v>
      </c>
      <c r="B3" s="4" t="s">
        <v>18</v>
      </c>
      <c r="C3" s="5" t="s">
        <v>19</v>
      </c>
      <c r="D3" s="4" t="s">
        <v>20</v>
      </c>
      <c r="E3" s="4" t="s">
        <v>21</v>
      </c>
      <c r="F3" s="6"/>
      <c r="G3" s="4" t="s">
        <v>29</v>
      </c>
      <c r="H3" s="4" t="s">
        <v>23</v>
      </c>
      <c r="I3" s="4">
        <v>60.0</v>
      </c>
      <c r="J3" s="7" t="s">
        <v>24</v>
      </c>
      <c r="K3" s="8"/>
      <c r="L3" s="4" t="s">
        <v>30</v>
      </c>
      <c r="M3" s="4">
        <v>1993.0</v>
      </c>
      <c r="N3" s="9" t="s">
        <v>31</v>
      </c>
      <c r="O3" s="6">
        <v>5000.0</v>
      </c>
      <c r="P3" s="4" t="s">
        <v>32</v>
      </c>
      <c r="Q3" s="4">
        <v>95.0</v>
      </c>
    </row>
    <row r="4">
      <c r="A4" s="4" t="s">
        <v>33</v>
      </c>
      <c r="B4" s="4" t="s">
        <v>18</v>
      </c>
      <c r="C4" s="5" t="s">
        <v>19</v>
      </c>
      <c r="D4" s="4" t="s">
        <v>20</v>
      </c>
      <c r="E4" s="4" t="s">
        <v>21</v>
      </c>
      <c r="F4" s="6"/>
      <c r="G4" s="4" t="s">
        <v>34</v>
      </c>
      <c r="H4" s="4" t="s">
        <v>23</v>
      </c>
      <c r="I4" s="4">
        <v>52.0</v>
      </c>
      <c r="J4" s="7" t="s">
        <v>24</v>
      </c>
      <c r="K4" s="8"/>
      <c r="L4" s="4" t="s">
        <v>30</v>
      </c>
      <c r="M4" s="4">
        <v>1999.0</v>
      </c>
      <c r="N4" s="9" t="s">
        <v>31</v>
      </c>
      <c r="O4" s="6">
        <v>5000.0</v>
      </c>
      <c r="P4" s="4" t="s">
        <v>35</v>
      </c>
      <c r="Q4" s="4">
        <v>120.0</v>
      </c>
    </row>
    <row r="5">
      <c r="A5" s="4" t="s">
        <v>36</v>
      </c>
      <c r="B5" s="4" t="s">
        <v>18</v>
      </c>
      <c r="C5" s="5" t="s">
        <v>19</v>
      </c>
      <c r="D5" s="4" t="s">
        <v>20</v>
      </c>
      <c r="E5" s="4" t="s">
        <v>21</v>
      </c>
      <c r="F5" s="6"/>
      <c r="G5" s="4" t="s">
        <v>37</v>
      </c>
      <c r="H5" s="4" t="s">
        <v>23</v>
      </c>
      <c r="I5" s="4">
        <v>48.0</v>
      </c>
      <c r="J5" s="7" t="s">
        <v>24</v>
      </c>
      <c r="K5" s="8"/>
      <c r="L5" s="4" t="s">
        <v>38</v>
      </c>
      <c r="M5" s="4">
        <v>2023.0</v>
      </c>
      <c r="N5" s="9" t="s">
        <v>31</v>
      </c>
      <c r="O5" s="6">
        <v>3000.0</v>
      </c>
      <c r="P5" s="4" t="s">
        <v>39</v>
      </c>
      <c r="Q5" s="4">
        <v>125.0</v>
      </c>
    </row>
    <row r="6">
      <c r="A6" s="4" t="s">
        <v>40</v>
      </c>
      <c r="B6" s="4" t="s">
        <v>18</v>
      </c>
      <c r="C6" s="5" t="s">
        <v>19</v>
      </c>
      <c r="D6" s="4" t="s">
        <v>20</v>
      </c>
      <c r="E6" s="4" t="s">
        <v>21</v>
      </c>
      <c r="F6" s="6"/>
      <c r="G6" s="4" t="s">
        <v>41</v>
      </c>
      <c r="H6" s="4" t="s">
        <v>23</v>
      </c>
      <c r="I6" s="4">
        <v>49.0</v>
      </c>
      <c r="J6" s="7" t="s">
        <v>24</v>
      </c>
      <c r="K6" s="8"/>
      <c r="L6" s="4" t="s">
        <v>38</v>
      </c>
      <c r="M6" s="4">
        <v>2021.0</v>
      </c>
      <c r="N6" s="9" t="s">
        <v>31</v>
      </c>
      <c r="O6" s="6">
        <v>2000.0</v>
      </c>
      <c r="P6" s="4" t="s">
        <v>32</v>
      </c>
      <c r="Q6" s="4">
        <v>95.0</v>
      </c>
    </row>
    <row r="7">
      <c r="A7" s="4" t="s">
        <v>42</v>
      </c>
      <c r="B7" s="4" t="s">
        <v>18</v>
      </c>
      <c r="C7" s="5" t="s">
        <v>19</v>
      </c>
      <c r="D7" s="4" t="s">
        <v>20</v>
      </c>
      <c r="E7" s="4" t="s">
        <v>21</v>
      </c>
      <c r="F7" s="6"/>
      <c r="G7" s="4" t="s">
        <v>43</v>
      </c>
      <c r="H7" s="4" t="s">
        <v>23</v>
      </c>
      <c r="I7" s="4">
        <v>48.0</v>
      </c>
      <c r="J7" s="7" t="s">
        <v>24</v>
      </c>
      <c r="K7" s="8"/>
      <c r="L7" s="4" t="s">
        <v>44</v>
      </c>
      <c r="M7" s="4">
        <v>2020.0</v>
      </c>
      <c r="N7" s="9" t="s">
        <v>26</v>
      </c>
      <c r="O7" s="6">
        <v>3000.0</v>
      </c>
      <c r="P7" s="4" t="s">
        <v>39</v>
      </c>
      <c r="Q7" s="4">
        <v>125.0</v>
      </c>
    </row>
    <row r="8">
      <c r="A8" s="4" t="s">
        <v>45</v>
      </c>
      <c r="B8" s="4" t="s">
        <v>18</v>
      </c>
      <c r="C8" s="5" t="s">
        <v>19</v>
      </c>
      <c r="D8" s="4" t="s">
        <v>20</v>
      </c>
      <c r="E8" s="4" t="s">
        <v>21</v>
      </c>
      <c r="F8" s="6"/>
      <c r="G8" s="4" t="s">
        <v>46</v>
      </c>
      <c r="H8" s="4" t="s">
        <v>23</v>
      </c>
      <c r="I8" s="4">
        <v>48.0</v>
      </c>
      <c r="J8" s="7" t="s">
        <v>24</v>
      </c>
      <c r="K8" s="8"/>
      <c r="L8" s="4" t="s">
        <v>38</v>
      </c>
      <c r="M8" s="4">
        <v>2001.0</v>
      </c>
      <c r="N8" s="9" t="s">
        <v>31</v>
      </c>
      <c r="O8" s="6">
        <v>6000.0</v>
      </c>
      <c r="P8" s="4" t="s">
        <v>47</v>
      </c>
      <c r="Q8" s="4">
        <v>87.0</v>
      </c>
    </row>
    <row r="9">
      <c r="A9" s="4" t="s">
        <v>48</v>
      </c>
      <c r="B9" s="4" t="s">
        <v>18</v>
      </c>
      <c r="C9" s="5" t="s">
        <v>19</v>
      </c>
      <c r="D9" s="4" t="s">
        <v>20</v>
      </c>
      <c r="E9" s="4" t="s">
        <v>21</v>
      </c>
      <c r="F9" s="6"/>
      <c r="G9" s="4" t="s">
        <v>49</v>
      </c>
      <c r="H9" s="4" t="s">
        <v>23</v>
      </c>
      <c r="I9" s="4">
        <v>45.0</v>
      </c>
      <c r="J9" s="7" t="s">
        <v>24</v>
      </c>
      <c r="K9" s="8"/>
      <c r="L9" s="4" t="s">
        <v>44</v>
      </c>
      <c r="M9" s="4">
        <v>2006.0</v>
      </c>
      <c r="N9" s="9" t="s">
        <v>31</v>
      </c>
      <c r="O9" s="6">
        <v>6000.0</v>
      </c>
      <c r="P9" s="4" t="s">
        <v>39</v>
      </c>
      <c r="Q9" s="4">
        <v>125.0</v>
      </c>
    </row>
    <row r="10">
      <c r="A10" s="4" t="s">
        <v>50</v>
      </c>
      <c r="B10" s="4" t="s">
        <v>18</v>
      </c>
      <c r="C10" s="5" t="s">
        <v>19</v>
      </c>
      <c r="D10" s="4" t="s">
        <v>20</v>
      </c>
      <c r="E10" s="4" t="s">
        <v>21</v>
      </c>
      <c r="F10" s="6"/>
      <c r="G10" s="4" t="s">
        <v>51</v>
      </c>
      <c r="H10" s="4" t="s">
        <v>23</v>
      </c>
      <c r="I10" s="4">
        <v>70.0</v>
      </c>
      <c r="J10" s="7" t="s">
        <v>24</v>
      </c>
      <c r="K10" s="8"/>
      <c r="L10" s="4" t="s">
        <v>38</v>
      </c>
      <c r="M10" s="4">
        <v>1997.0</v>
      </c>
      <c r="N10" s="9" t="s">
        <v>31</v>
      </c>
      <c r="O10" s="6">
        <v>2000.0</v>
      </c>
      <c r="P10" s="4" t="s">
        <v>39</v>
      </c>
      <c r="Q10" s="4">
        <v>125.0</v>
      </c>
    </row>
    <row r="11">
      <c r="A11" s="4" t="s">
        <v>52</v>
      </c>
      <c r="B11" s="4" t="s">
        <v>18</v>
      </c>
      <c r="C11" s="5" t="s">
        <v>19</v>
      </c>
      <c r="D11" s="4" t="s">
        <v>20</v>
      </c>
      <c r="E11" s="4" t="s">
        <v>21</v>
      </c>
      <c r="F11" s="6"/>
      <c r="G11" s="4" t="s">
        <v>53</v>
      </c>
      <c r="H11" s="4" t="s">
        <v>23</v>
      </c>
      <c r="I11" s="4">
        <v>40.0</v>
      </c>
      <c r="J11" s="7" t="s">
        <v>24</v>
      </c>
      <c r="K11" s="8"/>
      <c r="L11" s="4" t="s">
        <v>38</v>
      </c>
      <c r="M11" s="4">
        <v>1996.0</v>
      </c>
      <c r="N11" s="9" t="s">
        <v>26</v>
      </c>
      <c r="O11" s="6">
        <v>4000.0</v>
      </c>
      <c r="P11" s="4" t="s">
        <v>47</v>
      </c>
      <c r="Q11" s="4">
        <v>87.0</v>
      </c>
    </row>
    <row r="12">
      <c r="A12" s="4" t="s">
        <v>54</v>
      </c>
      <c r="B12" s="4" t="s">
        <v>18</v>
      </c>
      <c r="C12" s="5" t="s">
        <v>19</v>
      </c>
      <c r="D12" s="4" t="s">
        <v>20</v>
      </c>
      <c r="E12" s="4" t="s">
        <v>55</v>
      </c>
      <c r="F12" s="6"/>
      <c r="G12" s="4" t="s">
        <v>56</v>
      </c>
      <c r="H12" s="4" t="s">
        <v>23</v>
      </c>
      <c r="I12" s="4">
        <v>39.0</v>
      </c>
      <c r="J12" s="7" t="s">
        <v>57</v>
      </c>
      <c r="K12" s="8"/>
      <c r="L12" s="4" t="s">
        <v>58</v>
      </c>
      <c r="M12" s="4">
        <v>2005.0</v>
      </c>
      <c r="N12" s="9" t="s">
        <v>31</v>
      </c>
      <c r="O12" s="6">
        <v>1000.0</v>
      </c>
      <c r="P12" s="4" t="s">
        <v>47</v>
      </c>
      <c r="Q12" s="4">
        <v>87.0</v>
      </c>
    </row>
    <row r="13">
      <c r="A13" s="4" t="s">
        <v>59</v>
      </c>
      <c r="B13" s="4" t="s">
        <v>18</v>
      </c>
      <c r="C13" s="5" t="s">
        <v>19</v>
      </c>
      <c r="D13" s="4" t="s">
        <v>20</v>
      </c>
      <c r="E13" s="4" t="s">
        <v>55</v>
      </c>
      <c r="F13" s="6"/>
      <c r="G13" s="4" t="s">
        <v>60</v>
      </c>
      <c r="H13" s="4" t="s">
        <v>23</v>
      </c>
      <c r="I13" s="4">
        <v>42.0</v>
      </c>
      <c r="J13" s="7" t="s">
        <v>57</v>
      </c>
      <c r="K13" s="8"/>
      <c r="L13" s="4" t="s">
        <v>38</v>
      </c>
      <c r="M13" s="4">
        <v>1992.0</v>
      </c>
      <c r="N13" s="9" t="s">
        <v>26</v>
      </c>
      <c r="O13" s="6">
        <v>3000.0</v>
      </c>
      <c r="P13" s="4" t="s">
        <v>47</v>
      </c>
      <c r="Q13" s="4">
        <v>87.0</v>
      </c>
    </row>
    <row r="14">
      <c r="A14" s="4" t="s">
        <v>61</v>
      </c>
      <c r="B14" s="4" t="s">
        <v>18</v>
      </c>
      <c r="C14" s="5" t="s">
        <v>19</v>
      </c>
      <c r="D14" s="4" t="s">
        <v>20</v>
      </c>
      <c r="E14" s="4" t="s">
        <v>55</v>
      </c>
      <c r="F14" s="6"/>
      <c r="G14" s="4" t="s">
        <v>62</v>
      </c>
      <c r="H14" s="4" t="s">
        <v>23</v>
      </c>
      <c r="I14" s="4">
        <v>50.0</v>
      </c>
      <c r="J14" s="7" t="s">
        <v>57</v>
      </c>
      <c r="K14" s="8"/>
      <c r="L14" s="4" t="s">
        <v>58</v>
      </c>
      <c r="M14" s="4">
        <v>1990.0</v>
      </c>
      <c r="N14" s="9" t="s">
        <v>63</v>
      </c>
      <c r="O14" s="6">
        <v>3000.0</v>
      </c>
      <c r="P14" s="4" t="s">
        <v>47</v>
      </c>
      <c r="Q14" s="4">
        <v>87.0</v>
      </c>
    </row>
    <row r="15">
      <c r="A15" s="4" t="s">
        <v>64</v>
      </c>
      <c r="B15" s="4" t="s">
        <v>18</v>
      </c>
      <c r="C15" s="5" t="s">
        <v>19</v>
      </c>
      <c r="D15" s="4" t="s">
        <v>20</v>
      </c>
      <c r="E15" s="4" t="s">
        <v>55</v>
      </c>
      <c r="F15" s="6"/>
      <c r="G15" s="4" t="s">
        <v>65</v>
      </c>
      <c r="H15" s="4" t="s">
        <v>23</v>
      </c>
      <c r="I15" s="4">
        <v>32.0</v>
      </c>
      <c r="J15" s="7" t="s">
        <v>57</v>
      </c>
      <c r="K15" s="8"/>
      <c r="L15" s="4" t="s">
        <v>44</v>
      </c>
      <c r="M15" s="4">
        <v>2015.0</v>
      </c>
      <c r="N15" s="9" t="s">
        <v>63</v>
      </c>
      <c r="O15" s="6">
        <v>1000.0</v>
      </c>
      <c r="P15" s="4" t="s">
        <v>27</v>
      </c>
      <c r="Q15" s="4">
        <v>120.0</v>
      </c>
    </row>
    <row r="16">
      <c r="A16" s="4" t="s">
        <v>66</v>
      </c>
      <c r="B16" s="4" t="s">
        <v>18</v>
      </c>
      <c r="C16" s="5" t="s">
        <v>19</v>
      </c>
      <c r="D16" s="4" t="s">
        <v>20</v>
      </c>
      <c r="E16" s="4" t="s">
        <v>55</v>
      </c>
      <c r="F16" s="6"/>
      <c r="G16" s="4" t="s">
        <v>67</v>
      </c>
      <c r="H16" s="4" t="s">
        <v>23</v>
      </c>
      <c r="I16" s="4">
        <v>32.0</v>
      </c>
      <c r="J16" s="7" t="s">
        <v>57</v>
      </c>
      <c r="K16" s="8"/>
      <c r="L16" s="4" t="s">
        <v>44</v>
      </c>
      <c r="M16" s="4">
        <v>2015.0</v>
      </c>
      <c r="N16" s="9" t="s">
        <v>26</v>
      </c>
      <c r="O16" s="6">
        <v>1000.0</v>
      </c>
      <c r="P16" s="4" t="s">
        <v>47</v>
      </c>
      <c r="Q16" s="4">
        <v>87.0</v>
      </c>
    </row>
    <row r="17">
      <c r="A17" s="4" t="s">
        <v>68</v>
      </c>
      <c r="B17" s="4" t="s">
        <v>18</v>
      </c>
      <c r="C17" s="5" t="s">
        <v>19</v>
      </c>
      <c r="D17" s="4" t="s">
        <v>20</v>
      </c>
      <c r="E17" s="4" t="s">
        <v>55</v>
      </c>
      <c r="F17" s="6"/>
      <c r="G17" s="4" t="s">
        <v>69</v>
      </c>
      <c r="H17" s="4" t="s">
        <v>23</v>
      </c>
      <c r="I17" s="4">
        <v>26.0</v>
      </c>
      <c r="J17" s="7" t="s">
        <v>57</v>
      </c>
      <c r="K17" s="8"/>
      <c r="L17" s="4" t="s">
        <v>25</v>
      </c>
      <c r="M17" s="4">
        <v>2020.0</v>
      </c>
      <c r="N17" s="9" t="s">
        <v>31</v>
      </c>
      <c r="O17" s="6">
        <v>2500.0</v>
      </c>
      <c r="P17" s="4" t="s">
        <v>27</v>
      </c>
      <c r="Q17" s="4">
        <v>120.0</v>
      </c>
    </row>
    <row r="18">
      <c r="A18" s="4" t="s">
        <v>70</v>
      </c>
      <c r="B18" s="4" t="s">
        <v>18</v>
      </c>
      <c r="C18" s="5" t="s">
        <v>19</v>
      </c>
      <c r="D18" s="4" t="s">
        <v>20</v>
      </c>
      <c r="E18" s="4" t="s">
        <v>55</v>
      </c>
      <c r="F18" s="6"/>
      <c r="G18" s="4" t="s">
        <v>71</v>
      </c>
      <c r="H18" s="4" t="s">
        <v>23</v>
      </c>
      <c r="I18" s="4">
        <v>21.0</v>
      </c>
      <c r="J18" s="7" t="s">
        <v>57</v>
      </c>
      <c r="K18" s="8"/>
      <c r="L18" s="4" t="s">
        <v>44</v>
      </c>
      <c r="M18" s="4">
        <v>2023.0</v>
      </c>
      <c r="N18" s="9" t="s">
        <v>31</v>
      </c>
      <c r="O18" s="6">
        <v>350.0</v>
      </c>
      <c r="P18" s="4" t="s">
        <v>47</v>
      </c>
      <c r="Q18" s="4">
        <v>87.0</v>
      </c>
    </row>
    <row r="19">
      <c r="A19" s="4" t="s">
        <v>72</v>
      </c>
      <c r="B19" s="4" t="s">
        <v>18</v>
      </c>
      <c r="C19" s="5" t="s">
        <v>19</v>
      </c>
      <c r="D19" s="4" t="s">
        <v>20</v>
      </c>
      <c r="E19" s="4" t="s">
        <v>55</v>
      </c>
      <c r="F19" s="6"/>
      <c r="G19" s="4" t="s">
        <v>73</v>
      </c>
      <c r="H19" s="4" t="s">
        <v>23</v>
      </c>
      <c r="I19" s="4">
        <v>42.0</v>
      </c>
      <c r="J19" s="7" t="s">
        <v>57</v>
      </c>
      <c r="K19" s="8"/>
      <c r="L19" s="4" t="s">
        <v>44</v>
      </c>
      <c r="M19" s="4">
        <v>2000.0</v>
      </c>
      <c r="N19" s="9" t="s">
        <v>31</v>
      </c>
      <c r="O19" s="6">
        <v>500.0</v>
      </c>
      <c r="P19" s="4" t="s">
        <v>35</v>
      </c>
      <c r="Q19" s="4">
        <v>120.0</v>
      </c>
    </row>
    <row r="20">
      <c r="A20" s="4" t="s">
        <v>74</v>
      </c>
      <c r="B20" s="4" t="s">
        <v>18</v>
      </c>
      <c r="C20" s="5" t="s">
        <v>19</v>
      </c>
      <c r="D20" s="4" t="s">
        <v>20</v>
      </c>
      <c r="E20" s="4" t="s">
        <v>55</v>
      </c>
      <c r="F20" s="6"/>
      <c r="G20" s="4" t="s">
        <v>75</v>
      </c>
      <c r="H20" s="4" t="s">
        <v>23</v>
      </c>
      <c r="I20" s="4">
        <v>34.0</v>
      </c>
      <c r="J20" s="7" t="s">
        <v>57</v>
      </c>
      <c r="K20" s="8"/>
      <c r="L20" s="4" t="s">
        <v>38</v>
      </c>
      <c r="M20" s="4">
        <v>2004.0</v>
      </c>
      <c r="N20" s="9" t="s">
        <v>26</v>
      </c>
      <c r="O20" s="6">
        <v>2000.0</v>
      </c>
      <c r="P20" s="4" t="s">
        <v>76</v>
      </c>
      <c r="Q20" s="4">
        <v>120.0</v>
      </c>
    </row>
    <row r="21" ht="15.75" customHeight="1">
      <c r="A21" s="4" t="s">
        <v>77</v>
      </c>
      <c r="B21" s="4" t="s">
        <v>18</v>
      </c>
      <c r="C21" s="5" t="s">
        <v>19</v>
      </c>
      <c r="D21" s="4" t="s">
        <v>20</v>
      </c>
      <c r="E21" s="4" t="s">
        <v>55</v>
      </c>
      <c r="F21" s="6"/>
      <c r="G21" s="4" t="s">
        <v>78</v>
      </c>
      <c r="H21" s="4" t="s">
        <v>23</v>
      </c>
      <c r="I21" s="4">
        <v>43.0</v>
      </c>
      <c r="J21" s="7" t="s">
        <v>57</v>
      </c>
      <c r="K21" s="8"/>
      <c r="L21" s="4" t="s">
        <v>44</v>
      </c>
      <c r="M21" s="4">
        <v>1997.0</v>
      </c>
      <c r="N21" s="9" t="s">
        <v>26</v>
      </c>
      <c r="O21" s="6">
        <v>1000.0</v>
      </c>
      <c r="P21" s="4" t="s">
        <v>79</v>
      </c>
      <c r="Q21" s="10">
        <v>125.0</v>
      </c>
    </row>
    <row r="22" ht="15.75" customHeight="1">
      <c r="A22" s="4" t="s">
        <v>80</v>
      </c>
      <c r="B22" s="4" t="s">
        <v>18</v>
      </c>
      <c r="C22" s="5" t="s">
        <v>19</v>
      </c>
      <c r="D22" s="4" t="s">
        <v>81</v>
      </c>
      <c r="E22" s="4" t="s">
        <v>82</v>
      </c>
      <c r="F22" s="11"/>
      <c r="G22" s="4" t="s">
        <v>83</v>
      </c>
      <c r="H22" s="4" t="s">
        <v>23</v>
      </c>
      <c r="I22" s="4">
        <v>43.0</v>
      </c>
      <c r="J22" s="7" t="s">
        <v>84</v>
      </c>
      <c r="K22" s="8"/>
      <c r="L22" s="4" t="s">
        <v>38</v>
      </c>
      <c r="M22" s="4">
        <v>2002.0</v>
      </c>
      <c r="N22" s="9" t="s">
        <v>26</v>
      </c>
      <c r="O22" s="6">
        <v>5000.0</v>
      </c>
      <c r="P22" s="4" t="s">
        <v>79</v>
      </c>
      <c r="Q22" s="10">
        <v>125.0</v>
      </c>
    </row>
    <row r="23" ht="15.75" customHeight="1">
      <c r="A23" s="4" t="s">
        <v>85</v>
      </c>
      <c r="B23" s="4" t="s">
        <v>18</v>
      </c>
      <c r="C23" s="5" t="s">
        <v>19</v>
      </c>
      <c r="D23" s="4" t="s">
        <v>81</v>
      </c>
      <c r="E23" s="4" t="s">
        <v>82</v>
      </c>
      <c r="F23" s="8"/>
      <c r="G23" s="4" t="s">
        <v>86</v>
      </c>
      <c r="H23" s="4" t="s">
        <v>23</v>
      </c>
      <c r="I23" s="4">
        <v>53.0</v>
      </c>
      <c r="J23" s="7" t="s">
        <v>84</v>
      </c>
      <c r="K23" s="8"/>
      <c r="L23" s="4" t="s">
        <v>44</v>
      </c>
      <c r="M23" s="4">
        <v>2020.0</v>
      </c>
      <c r="N23" s="9" t="s">
        <v>63</v>
      </c>
      <c r="O23" s="6">
        <v>1500.0</v>
      </c>
      <c r="P23" s="4" t="s">
        <v>32</v>
      </c>
      <c r="Q23" s="4">
        <v>95.0</v>
      </c>
    </row>
    <row r="24" ht="15.75" customHeight="1">
      <c r="A24" s="4" t="s">
        <v>87</v>
      </c>
      <c r="B24" s="4" t="s">
        <v>18</v>
      </c>
      <c r="C24" s="5" t="s">
        <v>19</v>
      </c>
      <c r="D24" s="4" t="s">
        <v>81</v>
      </c>
      <c r="E24" s="4" t="s">
        <v>88</v>
      </c>
      <c r="F24" s="8"/>
      <c r="G24" s="4" t="s">
        <v>89</v>
      </c>
      <c r="H24" s="4" t="s">
        <v>23</v>
      </c>
      <c r="I24" s="4">
        <v>63.0</v>
      </c>
      <c r="J24" s="7" t="s">
        <v>90</v>
      </c>
      <c r="K24" s="8"/>
      <c r="L24" s="4" t="s">
        <v>58</v>
      </c>
      <c r="M24" s="4">
        <v>1980.0</v>
      </c>
      <c r="N24" s="9" t="s">
        <v>31</v>
      </c>
      <c r="O24" s="6">
        <v>1500.0</v>
      </c>
      <c r="P24" s="4" t="s">
        <v>32</v>
      </c>
      <c r="Q24" s="4">
        <v>95.0</v>
      </c>
    </row>
    <row r="25" ht="15.75" customHeight="1">
      <c r="A25" s="4" t="s">
        <v>91</v>
      </c>
      <c r="B25" s="4" t="s">
        <v>18</v>
      </c>
      <c r="C25" s="5" t="s">
        <v>19</v>
      </c>
      <c r="D25" s="4" t="s">
        <v>81</v>
      </c>
      <c r="E25" s="4" t="s">
        <v>88</v>
      </c>
      <c r="F25" s="8"/>
      <c r="G25" s="4" t="s">
        <v>92</v>
      </c>
      <c r="H25" s="4" t="s">
        <v>23</v>
      </c>
      <c r="I25" s="4">
        <v>58.0</v>
      </c>
      <c r="J25" s="7" t="s">
        <v>90</v>
      </c>
      <c r="K25" s="8"/>
      <c r="L25" s="4" t="s">
        <v>25</v>
      </c>
      <c r="M25" s="4">
        <v>1991.0</v>
      </c>
      <c r="N25" s="9" t="s">
        <v>31</v>
      </c>
      <c r="O25" s="6">
        <v>1300.0</v>
      </c>
      <c r="P25" s="4" t="s">
        <v>76</v>
      </c>
      <c r="Q25" s="4">
        <v>100.0</v>
      </c>
    </row>
    <row r="26" ht="15.75" customHeight="1">
      <c r="A26" s="4" t="s">
        <v>93</v>
      </c>
      <c r="B26" s="4" t="s">
        <v>18</v>
      </c>
      <c r="C26" s="5" t="s">
        <v>19</v>
      </c>
      <c r="D26" s="4" t="s">
        <v>81</v>
      </c>
      <c r="E26" s="4" t="s">
        <v>88</v>
      </c>
      <c r="F26" s="8"/>
      <c r="G26" s="4" t="s">
        <v>94</v>
      </c>
      <c r="H26" s="4" t="s">
        <v>23</v>
      </c>
      <c r="I26" s="4">
        <v>54.0</v>
      </c>
      <c r="J26" s="7" t="s">
        <v>95</v>
      </c>
      <c r="K26" s="8"/>
      <c r="L26" s="4" t="s">
        <v>58</v>
      </c>
      <c r="M26" s="4">
        <v>1988.0</v>
      </c>
      <c r="N26" s="9" t="s">
        <v>31</v>
      </c>
      <c r="O26" s="6">
        <v>1000.0</v>
      </c>
      <c r="P26" s="4" t="s">
        <v>32</v>
      </c>
      <c r="Q26" s="4">
        <v>95.0</v>
      </c>
    </row>
    <row r="27" ht="15.75" customHeight="1">
      <c r="A27" s="4" t="s">
        <v>96</v>
      </c>
      <c r="B27" s="4" t="s">
        <v>18</v>
      </c>
      <c r="C27" s="5" t="s">
        <v>19</v>
      </c>
      <c r="D27" s="4" t="s">
        <v>81</v>
      </c>
      <c r="E27" s="4" t="s">
        <v>88</v>
      </c>
      <c r="F27" s="8"/>
      <c r="G27" s="4" t="s">
        <v>97</v>
      </c>
      <c r="H27" s="4" t="s">
        <v>23</v>
      </c>
      <c r="I27" s="4">
        <v>52.0</v>
      </c>
      <c r="J27" s="7" t="s">
        <v>95</v>
      </c>
      <c r="K27" s="8"/>
      <c r="L27" s="4" t="s">
        <v>44</v>
      </c>
      <c r="M27" s="4">
        <v>1998.0</v>
      </c>
      <c r="N27" s="9" t="s">
        <v>63</v>
      </c>
      <c r="O27" s="6">
        <v>2200.0</v>
      </c>
      <c r="P27" s="4" t="s">
        <v>32</v>
      </c>
      <c r="Q27" s="4">
        <v>95.0</v>
      </c>
    </row>
    <row r="28" ht="15.75" customHeight="1">
      <c r="A28" s="4" t="s">
        <v>98</v>
      </c>
      <c r="B28" s="4" t="s">
        <v>18</v>
      </c>
      <c r="C28" s="5" t="s">
        <v>19</v>
      </c>
      <c r="D28" s="4" t="s">
        <v>81</v>
      </c>
      <c r="E28" s="4" t="s">
        <v>88</v>
      </c>
      <c r="F28" s="8"/>
      <c r="G28" s="4" t="s">
        <v>99</v>
      </c>
      <c r="H28" s="4" t="s">
        <v>23</v>
      </c>
      <c r="I28" s="4">
        <v>27.0</v>
      </c>
      <c r="J28" s="7" t="s">
        <v>95</v>
      </c>
      <c r="K28" s="8"/>
      <c r="L28" s="4" t="s">
        <v>44</v>
      </c>
      <c r="M28" s="4">
        <v>2019.0</v>
      </c>
      <c r="N28" s="9" t="s">
        <v>31</v>
      </c>
      <c r="O28" s="6">
        <v>2300.0</v>
      </c>
      <c r="P28" s="4" t="s">
        <v>100</v>
      </c>
      <c r="Q28" s="4">
        <v>110.0</v>
      </c>
    </row>
    <row r="29" ht="15.75" customHeight="1">
      <c r="A29" s="4" t="s">
        <v>101</v>
      </c>
      <c r="B29" s="4" t="s">
        <v>18</v>
      </c>
      <c r="C29" s="5" t="s">
        <v>19</v>
      </c>
      <c r="D29" s="4" t="s">
        <v>81</v>
      </c>
      <c r="E29" s="4" t="s">
        <v>81</v>
      </c>
      <c r="F29" s="8"/>
      <c r="G29" s="4" t="s">
        <v>102</v>
      </c>
      <c r="H29" s="4" t="s">
        <v>23</v>
      </c>
      <c r="I29" s="4">
        <v>51.0</v>
      </c>
      <c r="J29" s="7" t="s">
        <v>95</v>
      </c>
      <c r="K29" s="8"/>
      <c r="L29" s="4" t="s">
        <v>38</v>
      </c>
      <c r="M29" s="4">
        <v>2017.0</v>
      </c>
      <c r="N29" s="9" t="s">
        <v>31</v>
      </c>
      <c r="O29" s="6">
        <v>2000.0</v>
      </c>
      <c r="P29" s="4" t="s">
        <v>103</v>
      </c>
      <c r="Q29" s="4">
        <v>100.0</v>
      </c>
    </row>
    <row r="30" ht="15.75" customHeight="1">
      <c r="A30" s="4" t="s">
        <v>104</v>
      </c>
      <c r="B30" s="4" t="s">
        <v>18</v>
      </c>
      <c r="C30" s="5" t="s">
        <v>19</v>
      </c>
      <c r="D30" s="4" t="s">
        <v>81</v>
      </c>
      <c r="E30" s="4" t="s">
        <v>81</v>
      </c>
      <c r="F30" s="8"/>
      <c r="G30" s="4" t="s">
        <v>105</v>
      </c>
      <c r="H30" s="4" t="s">
        <v>106</v>
      </c>
      <c r="I30" s="4">
        <v>51.0</v>
      </c>
      <c r="J30" s="7" t="s">
        <v>95</v>
      </c>
      <c r="K30" s="8"/>
      <c r="L30" s="4" t="s">
        <v>44</v>
      </c>
      <c r="M30" s="4">
        <v>1990.0</v>
      </c>
      <c r="N30" s="9" t="s">
        <v>63</v>
      </c>
      <c r="O30" s="6">
        <v>6000.0</v>
      </c>
      <c r="P30" s="4" t="s">
        <v>35</v>
      </c>
      <c r="Q30" s="4">
        <v>120.0</v>
      </c>
    </row>
    <row r="31" ht="15.75" customHeight="1">
      <c r="A31" s="4" t="s">
        <v>107</v>
      </c>
      <c r="B31" s="4" t="s">
        <v>18</v>
      </c>
      <c r="C31" s="5" t="s">
        <v>19</v>
      </c>
      <c r="D31" s="4" t="s">
        <v>81</v>
      </c>
      <c r="E31" s="4" t="s">
        <v>88</v>
      </c>
      <c r="F31" s="8"/>
      <c r="G31" s="4" t="s">
        <v>108</v>
      </c>
      <c r="H31" s="4" t="s">
        <v>23</v>
      </c>
      <c r="I31" s="4">
        <v>75.0</v>
      </c>
      <c r="J31" s="7" t="s">
        <v>95</v>
      </c>
      <c r="K31" s="8"/>
      <c r="L31" s="4" t="s">
        <v>58</v>
      </c>
      <c r="M31" s="4">
        <v>1972.0</v>
      </c>
      <c r="N31" s="9" t="s">
        <v>31</v>
      </c>
      <c r="O31" s="6">
        <v>1000.0</v>
      </c>
      <c r="P31" s="4" t="s">
        <v>32</v>
      </c>
      <c r="Q31" s="4">
        <v>95.0</v>
      </c>
    </row>
    <row r="32" ht="15.75" customHeight="1">
      <c r="A32" s="4" t="s">
        <v>109</v>
      </c>
      <c r="B32" s="4" t="s">
        <v>18</v>
      </c>
      <c r="C32" s="5" t="s">
        <v>19</v>
      </c>
      <c r="D32" s="4" t="s">
        <v>81</v>
      </c>
      <c r="E32" s="4" t="s">
        <v>88</v>
      </c>
      <c r="F32" s="8"/>
      <c r="G32" s="4" t="s">
        <v>110</v>
      </c>
      <c r="H32" s="4" t="s">
        <v>23</v>
      </c>
      <c r="I32" s="4">
        <v>52.0</v>
      </c>
      <c r="J32" s="7" t="s">
        <v>95</v>
      </c>
      <c r="K32" s="8"/>
      <c r="L32" s="4" t="s">
        <v>38</v>
      </c>
      <c r="M32" s="4">
        <v>1980.0</v>
      </c>
      <c r="N32" s="9" t="s">
        <v>31</v>
      </c>
      <c r="O32" s="6">
        <v>4000.0</v>
      </c>
      <c r="P32" s="4" t="s">
        <v>103</v>
      </c>
      <c r="Q32" s="4">
        <v>100.0</v>
      </c>
    </row>
    <row r="33" ht="15.75" customHeight="1">
      <c r="A33" s="4" t="s">
        <v>111</v>
      </c>
      <c r="B33" s="4" t="s">
        <v>18</v>
      </c>
      <c r="C33" s="5" t="s">
        <v>19</v>
      </c>
      <c r="D33" s="4" t="s">
        <v>81</v>
      </c>
      <c r="E33" s="4" t="s">
        <v>88</v>
      </c>
      <c r="F33" s="8"/>
      <c r="G33" s="4" t="s">
        <v>112</v>
      </c>
      <c r="H33" s="4" t="s">
        <v>23</v>
      </c>
      <c r="I33" s="4">
        <v>27.0</v>
      </c>
      <c r="J33" s="7" t="s">
        <v>95</v>
      </c>
      <c r="K33" s="8"/>
      <c r="L33" s="4" t="s">
        <v>25</v>
      </c>
      <c r="M33" s="4">
        <v>2023.0</v>
      </c>
      <c r="N33" s="9" t="s">
        <v>26</v>
      </c>
      <c r="O33" s="6">
        <v>800.0</v>
      </c>
      <c r="P33" s="4" t="s">
        <v>113</v>
      </c>
      <c r="Q33" s="4">
        <v>90.0</v>
      </c>
    </row>
    <row r="34" ht="15.75" customHeight="1">
      <c r="A34" s="4" t="s">
        <v>114</v>
      </c>
      <c r="B34" s="4" t="s">
        <v>18</v>
      </c>
      <c r="C34" s="5" t="s">
        <v>19</v>
      </c>
      <c r="D34" s="4" t="s">
        <v>81</v>
      </c>
      <c r="E34" s="4" t="s">
        <v>82</v>
      </c>
      <c r="F34" s="8"/>
      <c r="G34" s="4" t="s">
        <v>115</v>
      </c>
      <c r="H34" s="4" t="s">
        <v>23</v>
      </c>
      <c r="I34" s="4">
        <v>56.0</v>
      </c>
      <c r="J34" s="7" t="s">
        <v>84</v>
      </c>
      <c r="K34" s="8"/>
      <c r="L34" s="4" t="s">
        <v>44</v>
      </c>
      <c r="M34" s="4">
        <v>2018.0</v>
      </c>
      <c r="N34" s="9" t="s">
        <v>31</v>
      </c>
      <c r="O34" s="6">
        <v>1200.0</v>
      </c>
      <c r="P34" s="4" t="s">
        <v>103</v>
      </c>
      <c r="Q34" s="4">
        <v>100.0</v>
      </c>
    </row>
    <row r="35" ht="15.75" customHeight="1">
      <c r="A35" s="4" t="s">
        <v>116</v>
      </c>
      <c r="B35" s="4" t="s">
        <v>18</v>
      </c>
      <c r="C35" s="5" t="s">
        <v>19</v>
      </c>
      <c r="D35" s="4" t="s">
        <v>81</v>
      </c>
      <c r="E35" s="4" t="s">
        <v>82</v>
      </c>
      <c r="F35" s="8"/>
      <c r="G35" s="4" t="s">
        <v>117</v>
      </c>
      <c r="H35" s="4" t="s">
        <v>23</v>
      </c>
      <c r="I35" s="4">
        <v>64.0</v>
      </c>
      <c r="J35" s="7" t="s">
        <v>84</v>
      </c>
      <c r="K35" s="8"/>
      <c r="L35" s="4" t="s">
        <v>58</v>
      </c>
      <c r="M35" s="4">
        <v>1998.0</v>
      </c>
      <c r="N35" s="9" t="s">
        <v>63</v>
      </c>
      <c r="O35" s="6">
        <v>3000.0</v>
      </c>
      <c r="P35" s="4" t="s">
        <v>118</v>
      </c>
      <c r="Q35" s="4">
        <v>150.0</v>
      </c>
    </row>
    <row r="36" ht="15.75" customHeight="1">
      <c r="A36" s="4" t="s">
        <v>119</v>
      </c>
      <c r="B36" s="4" t="s">
        <v>18</v>
      </c>
      <c r="C36" s="5" t="s">
        <v>19</v>
      </c>
      <c r="D36" s="4" t="s">
        <v>81</v>
      </c>
      <c r="E36" s="4" t="s">
        <v>82</v>
      </c>
      <c r="F36" s="8"/>
      <c r="G36" s="4" t="s">
        <v>120</v>
      </c>
      <c r="H36" s="4" t="s">
        <v>23</v>
      </c>
      <c r="I36" s="4">
        <v>63.0</v>
      </c>
      <c r="J36" s="7" t="s">
        <v>84</v>
      </c>
      <c r="K36" s="8"/>
      <c r="L36" s="4" t="s">
        <v>38</v>
      </c>
      <c r="M36" s="4">
        <v>1980.0</v>
      </c>
      <c r="N36" s="9" t="s">
        <v>63</v>
      </c>
      <c r="O36" s="6">
        <v>1800.0</v>
      </c>
      <c r="P36" s="4" t="s">
        <v>121</v>
      </c>
      <c r="Q36" s="4">
        <v>150.0</v>
      </c>
    </row>
    <row r="37" ht="15.75" customHeight="1">
      <c r="A37" s="4" t="s">
        <v>122</v>
      </c>
      <c r="B37" s="4" t="s">
        <v>18</v>
      </c>
      <c r="C37" s="4" t="s">
        <v>19</v>
      </c>
      <c r="D37" s="4" t="s">
        <v>81</v>
      </c>
      <c r="E37" s="4" t="s">
        <v>82</v>
      </c>
      <c r="F37" s="8"/>
      <c r="G37" s="4" t="s">
        <v>123</v>
      </c>
      <c r="H37" s="4" t="s">
        <v>23</v>
      </c>
      <c r="I37" s="4">
        <v>42.0</v>
      </c>
      <c r="J37" s="7" t="s">
        <v>124</v>
      </c>
      <c r="K37" s="8"/>
      <c r="L37" s="4" t="s">
        <v>58</v>
      </c>
      <c r="M37" s="4">
        <v>2020.0</v>
      </c>
      <c r="N37" s="9" t="s">
        <v>31</v>
      </c>
      <c r="O37" s="4">
        <v>4000.0</v>
      </c>
      <c r="P37" s="4" t="s">
        <v>47</v>
      </c>
      <c r="Q37" s="4">
        <v>87.0</v>
      </c>
    </row>
    <row r="38" ht="15.75" customHeight="1">
      <c r="A38" s="4" t="s">
        <v>125</v>
      </c>
      <c r="B38" s="4" t="s">
        <v>18</v>
      </c>
      <c r="C38" s="4" t="s">
        <v>19</v>
      </c>
      <c r="D38" s="4" t="s">
        <v>81</v>
      </c>
      <c r="E38" s="4" t="s">
        <v>82</v>
      </c>
      <c r="F38" s="8"/>
      <c r="G38" s="4" t="s">
        <v>126</v>
      </c>
      <c r="H38" s="4" t="s">
        <v>23</v>
      </c>
      <c r="I38" s="4">
        <v>65.0</v>
      </c>
      <c r="J38" s="7" t="s">
        <v>124</v>
      </c>
      <c r="K38" s="8"/>
      <c r="L38" s="4" t="s">
        <v>58</v>
      </c>
      <c r="M38" s="4">
        <v>1990.0</v>
      </c>
      <c r="N38" s="9" t="s">
        <v>26</v>
      </c>
      <c r="O38" s="4">
        <v>3000.0</v>
      </c>
      <c r="P38" s="4" t="s">
        <v>118</v>
      </c>
      <c r="Q38" s="4">
        <v>150.0</v>
      </c>
    </row>
    <row r="39" ht="15.75" customHeight="1">
      <c r="A39" s="4" t="s">
        <v>127</v>
      </c>
      <c r="B39" s="4" t="s">
        <v>18</v>
      </c>
      <c r="C39" s="4" t="s">
        <v>19</v>
      </c>
      <c r="D39" s="4" t="s">
        <v>81</v>
      </c>
      <c r="E39" s="4" t="s">
        <v>82</v>
      </c>
      <c r="F39" s="8"/>
      <c r="G39" s="4" t="s">
        <v>128</v>
      </c>
      <c r="H39" s="4" t="s">
        <v>23</v>
      </c>
      <c r="I39" s="4">
        <v>55.0</v>
      </c>
      <c r="J39" s="7" t="s">
        <v>84</v>
      </c>
      <c r="K39" s="8"/>
      <c r="L39" s="4" t="s">
        <v>44</v>
      </c>
      <c r="M39" s="4">
        <v>2016.0</v>
      </c>
      <c r="N39" s="9" t="s">
        <v>31</v>
      </c>
      <c r="O39" s="4">
        <v>800.0</v>
      </c>
      <c r="P39" s="4" t="s">
        <v>118</v>
      </c>
      <c r="Q39" s="4">
        <v>150.0</v>
      </c>
    </row>
    <row r="40" ht="15.75" customHeight="1">
      <c r="A40" s="4" t="s">
        <v>129</v>
      </c>
      <c r="B40" s="4" t="s">
        <v>18</v>
      </c>
      <c r="C40" s="4" t="s">
        <v>19</v>
      </c>
      <c r="D40" s="4" t="s">
        <v>81</v>
      </c>
      <c r="E40" s="4" t="s">
        <v>82</v>
      </c>
      <c r="F40" s="8"/>
      <c r="G40" s="4" t="s">
        <v>130</v>
      </c>
      <c r="H40" s="4" t="s">
        <v>23</v>
      </c>
      <c r="I40" s="4">
        <v>43.0</v>
      </c>
      <c r="J40" s="4" t="s">
        <v>124</v>
      </c>
      <c r="K40" s="8"/>
      <c r="L40" s="4" t="s">
        <v>44</v>
      </c>
      <c r="M40" s="4">
        <v>2002.0</v>
      </c>
      <c r="N40" s="9" t="s">
        <v>26</v>
      </c>
      <c r="O40" s="4">
        <v>1000.0</v>
      </c>
      <c r="P40" s="4" t="s">
        <v>113</v>
      </c>
      <c r="Q40" s="4">
        <v>90.0</v>
      </c>
    </row>
    <row r="41" ht="15.75" customHeight="1">
      <c r="A41" s="4" t="s">
        <v>131</v>
      </c>
      <c r="B41" s="4" t="s">
        <v>18</v>
      </c>
      <c r="C41" s="4" t="s">
        <v>19</v>
      </c>
      <c r="D41" s="4" t="s">
        <v>81</v>
      </c>
      <c r="E41" s="4" t="s">
        <v>82</v>
      </c>
      <c r="F41" s="8"/>
      <c r="G41" s="4" t="s">
        <v>132</v>
      </c>
      <c r="H41" s="4" t="s">
        <v>23</v>
      </c>
      <c r="I41" s="4">
        <v>41.0</v>
      </c>
      <c r="J41" s="4" t="s">
        <v>124</v>
      </c>
      <c r="K41" s="8"/>
      <c r="L41" s="4" t="s">
        <v>133</v>
      </c>
      <c r="M41" s="4">
        <v>2014.0</v>
      </c>
      <c r="N41" s="9" t="s">
        <v>31</v>
      </c>
      <c r="O41" s="6">
        <v>4000.0</v>
      </c>
      <c r="P41" s="4" t="s">
        <v>118</v>
      </c>
      <c r="Q41" s="4">
        <v>150.0</v>
      </c>
    </row>
    <row r="42" ht="15.75" customHeight="1">
      <c r="A42" s="4" t="s">
        <v>134</v>
      </c>
      <c r="B42" s="4" t="s">
        <v>18</v>
      </c>
      <c r="C42" s="4" t="s">
        <v>19</v>
      </c>
      <c r="D42" s="4" t="s">
        <v>135</v>
      </c>
      <c r="E42" s="4" t="s">
        <v>136</v>
      </c>
      <c r="F42" s="4" t="s">
        <v>137</v>
      </c>
      <c r="G42" s="4" t="s">
        <v>138</v>
      </c>
      <c r="H42" s="4" t="s">
        <v>106</v>
      </c>
      <c r="I42" s="4">
        <v>55.0</v>
      </c>
      <c r="J42" s="7" t="s">
        <v>136</v>
      </c>
      <c r="K42" s="8"/>
      <c r="L42" s="4" t="s">
        <v>44</v>
      </c>
      <c r="M42" s="4">
        <v>2010.0</v>
      </c>
      <c r="N42" s="9" t="s">
        <v>31</v>
      </c>
      <c r="O42" s="6">
        <v>3200.0</v>
      </c>
      <c r="P42" s="4" t="s">
        <v>47</v>
      </c>
      <c r="Q42" s="4">
        <v>87.0</v>
      </c>
    </row>
    <row r="43" ht="15.75" customHeight="1">
      <c r="A43" s="4" t="s">
        <v>139</v>
      </c>
      <c r="B43" s="4" t="s">
        <v>18</v>
      </c>
      <c r="C43" s="4" t="s">
        <v>19</v>
      </c>
      <c r="D43" s="4" t="s">
        <v>135</v>
      </c>
      <c r="E43" s="4" t="s">
        <v>136</v>
      </c>
      <c r="F43" s="4" t="s">
        <v>137</v>
      </c>
      <c r="G43" s="4" t="s">
        <v>140</v>
      </c>
      <c r="H43" s="4" t="s">
        <v>106</v>
      </c>
      <c r="I43" s="4">
        <v>55.0</v>
      </c>
      <c r="J43" s="7" t="s">
        <v>136</v>
      </c>
      <c r="K43" s="8"/>
      <c r="L43" s="4" t="s">
        <v>44</v>
      </c>
      <c r="M43" s="4">
        <v>2008.0</v>
      </c>
      <c r="N43" s="9" t="s">
        <v>31</v>
      </c>
      <c r="O43" s="6">
        <v>3500.0</v>
      </c>
      <c r="P43" s="4" t="s">
        <v>47</v>
      </c>
      <c r="Q43" s="4">
        <v>87.0</v>
      </c>
    </row>
    <row r="44" ht="15.75" customHeight="1">
      <c r="A44" s="4" t="s">
        <v>141</v>
      </c>
      <c r="B44" s="4" t="s">
        <v>18</v>
      </c>
      <c r="C44" s="4" t="s">
        <v>19</v>
      </c>
      <c r="D44" s="4" t="s">
        <v>135</v>
      </c>
      <c r="E44" s="4" t="s">
        <v>136</v>
      </c>
      <c r="F44" s="4" t="s">
        <v>137</v>
      </c>
      <c r="G44" s="4" t="s">
        <v>142</v>
      </c>
      <c r="H44" s="4" t="s">
        <v>23</v>
      </c>
      <c r="I44" s="4">
        <v>58.0</v>
      </c>
      <c r="J44" s="7" t="s">
        <v>136</v>
      </c>
      <c r="K44" s="8"/>
      <c r="L44" s="4" t="s">
        <v>44</v>
      </c>
      <c r="M44" s="4">
        <v>2009.0</v>
      </c>
      <c r="N44" s="9" t="s">
        <v>31</v>
      </c>
      <c r="O44" s="6">
        <v>3000.0</v>
      </c>
      <c r="P44" s="4" t="s">
        <v>47</v>
      </c>
      <c r="Q44" s="4">
        <v>87.0</v>
      </c>
    </row>
    <row r="45" ht="15.75" customHeight="1">
      <c r="A45" s="4" t="s">
        <v>143</v>
      </c>
      <c r="B45" s="4" t="s">
        <v>18</v>
      </c>
      <c r="C45" s="4" t="s">
        <v>19</v>
      </c>
      <c r="D45" s="4" t="s">
        <v>135</v>
      </c>
      <c r="E45" s="4" t="s">
        <v>136</v>
      </c>
      <c r="F45" s="4" t="s">
        <v>137</v>
      </c>
      <c r="G45" s="4" t="s">
        <v>144</v>
      </c>
      <c r="H45" s="4" t="s">
        <v>106</v>
      </c>
      <c r="I45" s="4">
        <v>60.0</v>
      </c>
      <c r="J45" s="7" t="s">
        <v>136</v>
      </c>
      <c r="K45" s="8"/>
      <c r="L45" s="4" t="s">
        <v>44</v>
      </c>
      <c r="M45" s="4">
        <v>2007.0</v>
      </c>
      <c r="N45" s="9" t="s">
        <v>31</v>
      </c>
      <c r="O45" s="6">
        <v>2700.0</v>
      </c>
      <c r="P45" s="4" t="s">
        <v>47</v>
      </c>
      <c r="Q45" s="4">
        <v>87.0</v>
      </c>
    </row>
    <row r="46" ht="15.75" customHeight="1">
      <c r="A46" s="4" t="s">
        <v>145</v>
      </c>
      <c r="B46" s="4" t="s">
        <v>18</v>
      </c>
      <c r="C46" s="4" t="s">
        <v>19</v>
      </c>
      <c r="D46" s="4" t="s">
        <v>135</v>
      </c>
      <c r="E46" s="4" t="s">
        <v>136</v>
      </c>
      <c r="F46" s="4" t="s">
        <v>137</v>
      </c>
      <c r="G46" s="4" t="s">
        <v>146</v>
      </c>
      <c r="H46" s="4" t="s">
        <v>106</v>
      </c>
      <c r="I46" s="4">
        <v>39.0</v>
      </c>
      <c r="J46" s="7" t="s">
        <v>136</v>
      </c>
      <c r="K46" s="8"/>
      <c r="L46" s="4" t="s">
        <v>25</v>
      </c>
      <c r="M46" s="4">
        <v>2010.0</v>
      </c>
      <c r="N46" s="9" t="s">
        <v>31</v>
      </c>
      <c r="O46" s="6">
        <v>5000.0</v>
      </c>
      <c r="P46" s="4" t="s">
        <v>47</v>
      </c>
      <c r="Q46" s="4">
        <v>87.0</v>
      </c>
    </row>
    <row r="47" ht="15.75" customHeight="1">
      <c r="A47" s="4" t="s">
        <v>147</v>
      </c>
      <c r="B47" s="4" t="s">
        <v>18</v>
      </c>
      <c r="C47" s="4" t="s">
        <v>19</v>
      </c>
      <c r="D47" s="4" t="s">
        <v>135</v>
      </c>
      <c r="E47" s="4" t="s">
        <v>136</v>
      </c>
      <c r="F47" s="8"/>
      <c r="G47" s="4" t="s">
        <v>148</v>
      </c>
      <c r="H47" s="4" t="s">
        <v>23</v>
      </c>
      <c r="I47" s="4">
        <v>60.0</v>
      </c>
      <c r="J47" s="7" t="s">
        <v>136</v>
      </c>
      <c r="K47" s="8"/>
      <c r="L47" s="4" t="s">
        <v>44</v>
      </c>
      <c r="M47" s="4">
        <v>2008.0</v>
      </c>
      <c r="N47" s="9" t="s">
        <v>31</v>
      </c>
      <c r="O47" s="6">
        <v>3500.0</v>
      </c>
      <c r="P47" s="4" t="s">
        <v>47</v>
      </c>
      <c r="Q47" s="4">
        <v>87.0</v>
      </c>
    </row>
    <row r="48" ht="15.75" customHeight="1">
      <c r="A48" s="4" t="s">
        <v>149</v>
      </c>
      <c r="B48" s="4" t="s">
        <v>18</v>
      </c>
      <c r="C48" s="4" t="s">
        <v>19</v>
      </c>
      <c r="D48" s="4" t="s">
        <v>135</v>
      </c>
      <c r="E48" s="4" t="s">
        <v>136</v>
      </c>
      <c r="F48" s="8"/>
      <c r="G48" s="4" t="s">
        <v>150</v>
      </c>
      <c r="H48" s="4" t="s">
        <v>106</v>
      </c>
      <c r="I48" s="4">
        <v>62.0</v>
      </c>
      <c r="J48" s="7" t="s">
        <v>136</v>
      </c>
      <c r="K48" s="8"/>
      <c r="L48" s="4" t="s">
        <v>38</v>
      </c>
      <c r="M48" s="4">
        <v>2010.0</v>
      </c>
      <c r="N48" s="9" t="s">
        <v>31</v>
      </c>
      <c r="O48" s="6">
        <v>3000.0</v>
      </c>
      <c r="P48" s="4" t="s">
        <v>47</v>
      </c>
      <c r="Q48" s="4">
        <v>87.0</v>
      </c>
    </row>
    <row r="49" ht="15.75" customHeight="1">
      <c r="A49" s="4" t="s">
        <v>151</v>
      </c>
      <c r="B49" s="4" t="s">
        <v>18</v>
      </c>
      <c r="C49" s="4" t="s">
        <v>19</v>
      </c>
      <c r="D49" s="4" t="s">
        <v>135</v>
      </c>
      <c r="E49" s="4" t="s">
        <v>136</v>
      </c>
      <c r="F49" s="8"/>
      <c r="G49" s="4" t="s">
        <v>152</v>
      </c>
      <c r="H49" s="4" t="s">
        <v>23</v>
      </c>
      <c r="I49" s="4">
        <v>62.0</v>
      </c>
      <c r="J49" s="7" t="s">
        <v>136</v>
      </c>
      <c r="K49" s="8"/>
      <c r="L49" s="4" t="s">
        <v>44</v>
      </c>
      <c r="M49" s="4">
        <v>2010.0</v>
      </c>
      <c r="N49" s="9" t="s">
        <v>31</v>
      </c>
      <c r="O49" s="6">
        <v>3200.0</v>
      </c>
      <c r="P49" s="4" t="s">
        <v>47</v>
      </c>
      <c r="Q49" s="4">
        <v>87.0</v>
      </c>
    </row>
    <row r="50" ht="15.75" customHeight="1">
      <c r="A50" s="4" t="s">
        <v>153</v>
      </c>
      <c r="B50" s="4" t="s">
        <v>18</v>
      </c>
      <c r="C50" s="4" t="s">
        <v>19</v>
      </c>
      <c r="D50" s="4" t="s">
        <v>135</v>
      </c>
      <c r="E50" s="4" t="s">
        <v>136</v>
      </c>
      <c r="F50" s="8"/>
      <c r="G50" s="4" t="s">
        <v>154</v>
      </c>
      <c r="H50" s="4" t="s">
        <v>106</v>
      </c>
      <c r="I50" s="4">
        <v>65.0</v>
      </c>
      <c r="J50" s="7" t="s">
        <v>136</v>
      </c>
      <c r="K50" s="8"/>
      <c r="L50" s="4" t="s">
        <v>38</v>
      </c>
      <c r="M50" s="4">
        <v>2008.0</v>
      </c>
      <c r="N50" s="9" t="s">
        <v>31</v>
      </c>
      <c r="O50" s="6">
        <v>3500.0</v>
      </c>
      <c r="P50" s="4" t="s">
        <v>47</v>
      </c>
      <c r="Q50" s="4">
        <v>87.0</v>
      </c>
    </row>
    <row r="51" ht="15.75" customHeight="1">
      <c r="A51" s="4" t="s">
        <v>155</v>
      </c>
      <c r="B51" s="4" t="s">
        <v>18</v>
      </c>
      <c r="C51" s="4" t="s">
        <v>19</v>
      </c>
      <c r="D51" s="4" t="s">
        <v>135</v>
      </c>
      <c r="E51" s="4" t="s">
        <v>136</v>
      </c>
      <c r="F51" s="8"/>
      <c r="G51" s="4" t="s">
        <v>156</v>
      </c>
      <c r="H51" s="4" t="s">
        <v>106</v>
      </c>
      <c r="I51" s="4">
        <v>48.0</v>
      </c>
      <c r="J51" s="7" t="s">
        <v>136</v>
      </c>
      <c r="K51" s="8"/>
      <c r="L51" s="4" t="s">
        <v>44</v>
      </c>
      <c r="M51" s="4">
        <v>2018.0</v>
      </c>
      <c r="N51" s="9" t="s">
        <v>31</v>
      </c>
      <c r="O51" s="4">
        <v>8000.0</v>
      </c>
      <c r="P51" s="4" t="s">
        <v>47</v>
      </c>
      <c r="Q51" s="4">
        <v>87.0</v>
      </c>
    </row>
    <row r="52" ht="15.75" customHeight="1">
      <c r="A52" s="12" t="s">
        <v>157</v>
      </c>
      <c r="B52" s="12" t="s">
        <v>18</v>
      </c>
      <c r="C52" s="12" t="s">
        <v>158</v>
      </c>
      <c r="D52" s="12" t="s">
        <v>159</v>
      </c>
      <c r="E52" s="12" t="s">
        <v>160</v>
      </c>
      <c r="F52" s="12" t="s">
        <v>137</v>
      </c>
      <c r="G52" s="12" t="s">
        <v>161</v>
      </c>
      <c r="H52" s="12" t="s">
        <v>23</v>
      </c>
      <c r="I52" s="12">
        <v>40.0</v>
      </c>
      <c r="J52" s="13" t="s">
        <v>162</v>
      </c>
      <c r="K52" s="12"/>
      <c r="L52" s="12" t="s">
        <v>38</v>
      </c>
      <c r="M52" s="12">
        <v>2009.0</v>
      </c>
      <c r="N52" s="14" t="s">
        <v>31</v>
      </c>
      <c r="O52" s="15">
        <v>1404.0</v>
      </c>
      <c r="P52" s="12" t="s">
        <v>163</v>
      </c>
      <c r="Q52" s="12">
        <v>111.0</v>
      </c>
    </row>
    <row r="53" ht="15.75" customHeight="1">
      <c r="A53" s="12" t="s">
        <v>164</v>
      </c>
      <c r="B53" s="12" t="s">
        <v>18</v>
      </c>
      <c r="C53" s="12" t="s">
        <v>158</v>
      </c>
      <c r="D53" s="12" t="s">
        <v>165</v>
      </c>
      <c r="E53" s="12" t="s">
        <v>162</v>
      </c>
      <c r="F53" s="12" t="s">
        <v>137</v>
      </c>
      <c r="G53" s="12" t="s">
        <v>166</v>
      </c>
      <c r="H53" s="12" t="s">
        <v>23</v>
      </c>
      <c r="I53" s="12">
        <v>41.0</v>
      </c>
      <c r="J53" s="13" t="s">
        <v>162</v>
      </c>
      <c r="K53" s="12"/>
      <c r="L53" s="16" t="s">
        <v>58</v>
      </c>
      <c r="M53" s="12">
        <v>1996.0</v>
      </c>
      <c r="N53" s="14" t="s">
        <v>31</v>
      </c>
      <c r="O53" s="15">
        <v>800.0</v>
      </c>
      <c r="P53" s="12" t="s">
        <v>163</v>
      </c>
      <c r="Q53" s="12">
        <v>111.0</v>
      </c>
    </row>
    <row r="54" ht="15.75" customHeight="1">
      <c r="A54" s="12" t="s">
        <v>167</v>
      </c>
      <c r="B54" s="12" t="s">
        <v>18</v>
      </c>
      <c r="C54" s="12" t="s">
        <v>158</v>
      </c>
      <c r="D54" s="17" t="s">
        <v>159</v>
      </c>
      <c r="E54" s="16" t="s">
        <v>162</v>
      </c>
      <c r="F54" s="18"/>
      <c r="G54" s="16" t="s">
        <v>168</v>
      </c>
      <c r="H54" s="12" t="s">
        <v>23</v>
      </c>
      <c r="I54" s="16">
        <v>64.0</v>
      </c>
      <c r="J54" s="13" t="s">
        <v>162</v>
      </c>
      <c r="K54" s="16"/>
      <c r="L54" s="16" t="s">
        <v>58</v>
      </c>
      <c r="M54" s="16">
        <v>1990.0</v>
      </c>
      <c r="N54" s="16" t="s">
        <v>26</v>
      </c>
      <c r="O54" s="19">
        <v>1000.0</v>
      </c>
      <c r="P54" s="12" t="s">
        <v>163</v>
      </c>
      <c r="Q54" s="16">
        <v>111.0</v>
      </c>
    </row>
    <row r="55" ht="15.75" customHeight="1">
      <c r="A55" s="12" t="s">
        <v>169</v>
      </c>
      <c r="B55" s="12" t="s">
        <v>18</v>
      </c>
      <c r="C55" s="12" t="s">
        <v>158</v>
      </c>
      <c r="D55" s="12" t="s">
        <v>159</v>
      </c>
      <c r="E55" s="12" t="s">
        <v>160</v>
      </c>
      <c r="F55" s="12" t="s">
        <v>137</v>
      </c>
      <c r="G55" s="12" t="s">
        <v>170</v>
      </c>
      <c r="H55" s="12" t="s">
        <v>23</v>
      </c>
      <c r="I55" s="12">
        <v>60.0</v>
      </c>
      <c r="J55" s="13" t="s">
        <v>162</v>
      </c>
      <c r="K55" s="12"/>
      <c r="L55" s="16" t="s">
        <v>58</v>
      </c>
      <c r="M55" s="12">
        <v>1990.0</v>
      </c>
      <c r="N55" s="14" t="s">
        <v>171</v>
      </c>
      <c r="O55" s="15">
        <v>600.0</v>
      </c>
      <c r="P55" s="12" t="s">
        <v>163</v>
      </c>
      <c r="Q55" s="12">
        <v>111.0</v>
      </c>
    </row>
    <row r="56" ht="15.75" customHeight="1">
      <c r="A56" s="12" t="s">
        <v>172</v>
      </c>
      <c r="B56" s="12" t="s">
        <v>18</v>
      </c>
      <c r="C56" s="12" t="s">
        <v>158</v>
      </c>
      <c r="D56" s="12" t="s">
        <v>165</v>
      </c>
      <c r="E56" s="12" t="s">
        <v>162</v>
      </c>
      <c r="F56" s="12" t="s">
        <v>137</v>
      </c>
      <c r="G56" s="12" t="s">
        <v>173</v>
      </c>
      <c r="H56" s="12" t="s">
        <v>23</v>
      </c>
      <c r="I56" s="12">
        <v>47.0</v>
      </c>
      <c r="J56" s="13" t="s">
        <v>162</v>
      </c>
      <c r="K56" s="12"/>
      <c r="L56" s="16" t="s">
        <v>58</v>
      </c>
      <c r="M56" s="12">
        <v>2002.0</v>
      </c>
      <c r="N56" s="14" t="s">
        <v>63</v>
      </c>
      <c r="O56" s="15">
        <v>4000.0</v>
      </c>
      <c r="P56" s="12" t="s">
        <v>163</v>
      </c>
      <c r="Q56" s="12">
        <v>111.0</v>
      </c>
    </row>
    <row r="57" ht="15.75" customHeight="1">
      <c r="A57" s="12" t="s">
        <v>174</v>
      </c>
      <c r="B57" s="12" t="s">
        <v>18</v>
      </c>
      <c r="C57" s="12" t="s">
        <v>158</v>
      </c>
      <c r="D57" s="12" t="s">
        <v>165</v>
      </c>
      <c r="E57" s="12" t="s">
        <v>162</v>
      </c>
      <c r="F57" s="12" t="s">
        <v>137</v>
      </c>
      <c r="G57" s="12" t="s">
        <v>175</v>
      </c>
      <c r="H57" s="12" t="s">
        <v>23</v>
      </c>
      <c r="I57" s="12">
        <v>43.0</v>
      </c>
      <c r="J57" s="13" t="s">
        <v>162</v>
      </c>
      <c r="K57" s="12"/>
      <c r="L57" s="16" t="s">
        <v>58</v>
      </c>
      <c r="M57" s="12">
        <v>1998.0</v>
      </c>
      <c r="N57" s="14" t="s">
        <v>63</v>
      </c>
      <c r="O57" s="15">
        <v>500.0</v>
      </c>
      <c r="P57" s="12" t="s">
        <v>163</v>
      </c>
      <c r="Q57" s="12">
        <v>111.0</v>
      </c>
    </row>
    <row r="58" ht="15.75" customHeight="1">
      <c r="A58" s="12" t="s">
        <v>176</v>
      </c>
      <c r="B58" s="12" t="s">
        <v>18</v>
      </c>
      <c r="C58" s="12" t="s">
        <v>158</v>
      </c>
      <c r="D58" s="12" t="s">
        <v>165</v>
      </c>
      <c r="E58" s="12" t="s">
        <v>162</v>
      </c>
      <c r="F58" s="20"/>
      <c r="G58" s="12" t="s">
        <v>177</v>
      </c>
      <c r="H58" s="12" t="s">
        <v>23</v>
      </c>
      <c r="I58" s="12">
        <v>33.0</v>
      </c>
      <c r="J58" s="13" t="s">
        <v>162</v>
      </c>
      <c r="K58" s="12"/>
      <c r="L58" s="12" t="s">
        <v>44</v>
      </c>
      <c r="M58" s="12">
        <v>2015.0</v>
      </c>
      <c r="N58" s="14" t="s">
        <v>63</v>
      </c>
      <c r="O58" s="15">
        <v>1000.0</v>
      </c>
      <c r="P58" s="12" t="s">
        <v>163</v>
      </c>
      <c r="Q58" s="12">
        <v>111.0</v>
      </c>
    </row>
    <row r="59" ht="15.75" customHeight="1">
      <c r="A59" s="12" t="s">
        <v>178</v>
      </c>
      <c r="B59" s="12" t="s">
        <v>18</v>
      </c>
      <c r="C59" s="12" t="s">
        <v>158</v>
      </c>
      <c r="D59" s="12" t="s">
        <v>165</v>
      </c>
      <c r="E59" s="12" t="s">
        <v>162</v>
      </c>
      <c r="F59" s="20"/>
      <c r="G59" s="12" t="s">
        <v>179</v>
      </c>
      <c r="H59" s="12" t="s">
        <v>23</v>
      </c>
      <c r="I59" s="12">
        <v>50.0</v>
      </c>
      <c r="J59" s="13" t="s">
        <v>162</v>
      </c>
      <c r="K59" s="12"/>
      <c r="L59" s="12" t="s">
        <v>58</v>
      </c>
      <c r="M59" s="12">
        <v>2010.0</v>
      </c>
      <c r="N59" s="14" t="s">
        <v>63</v>
      </c>
      <c r="O59" s="15">
        <v>2800.0</v>
      </c>
      <c r="P59" s="12" t="s">
        <v>163</v>
      </c>
      <c r="Q59" s="12">
        <v>111.0</v>
      </c>
    </row>
    <row r="60" ht="15.75" customHeight="1">
      <c r="A60" s="12" t="s">
        <v>180</v>
      </c>
      <c r="B60" s="12" t="s">
        <v>18</v>
      </c>
      <c r="C60" s="12" t="s">
        <v>158</v>
      </c>
      <c r="D60" s="12" t="s">
        <v>159</v>
      </c>
      <c r="E60" s="12" t="s">
        <v>160</v>
      </c>
      <c r="F60" s="12" t="s">
        <v>137</v>
      </c>
      <c r="G60" s="12" t="s">
        <v>181</v>
      </c>
      <c r="H60" s="12" t="s">
        <v>106</v>
      </c>
      <c r="I60" s="12">
        <v>42.0</v>
      </c>
      <c r="J60" s="13" t="s">
        <v>162</v>
      </c>
      <c r="K60" s="12"/>
      <c r="L60" s="12" t="s">
        <v>38</v>
      </c>
      <c r="M60" s="12">
        <v>2007.0</v>
      </c>
      <c r="N60" s="14" t="s">
        <v>171</v>
      </c>
      <c r="O60" s="15">
        <v>600.0</v>
      </c>
      <c r="P60" s="12" t="s">
        <v>163</v>
      </c>
      <c r="Q60" s="12">
        <v>111.0</v>
      </c>
    </row>
    <row r="61" ht="15.75" customHeight="1">
      <c r="A61" s="12" t="s">
        <v>182</v>
      </c>
      <c r="B61" s="12" t="s">
        <v>18</v>
      </c>
      <c r="C61" s="12" t="s">
        <v>158</v>
      </c>
      <c r="D61" s="12" t="s">
        <v>183</v>
      </c>
      <c r="E61" s="12" t="s">
        <v>184</v>
      </c>
      <c r="F61" s="12" t="s">
        <v>137</v>
      </c>
      <c r="G61" s="12" t="s">
        <v>185</v>
      </c>
      <c r="H61" s="12" t="s">
        <v>23</v>
      </c>
      <c r="I61" s="12">
        <v>34.0</v>
      </c>
      <c r="J61" s="12" t="s">
        <v>184</v>
      </c>
      <c r="K61" s="12"/>
      <c r="L61" s="12" t="s">
        <v>38</v>
      </c>
      <c r="M61" s="12">
        <v>2010.0</v>
      </c>
      <c r="N61" s="14" t="s">
        <v>63</v>
      </c>
      <c r="O61" s="15">
        <v>3400.0</v>
      </c>
      <c r="P61" s="12" t="s">
        <v>163</v>
      </c>
      <c r="Q61" s="12">
        <v>111.0</v>
      </c>
    </row>
    <row r="62" ht="15.75" customHeight="1">
      <c r="A62" s="12" t="s">
        <v>186</v>
      </c>
      <c r="B62" s="12" t="s">
        <v>18</v>
      </c>
      <c r="C62" s="12" t="s">
        <v>158</v>
      </c>
      <c r="D62" s="12" t="s">
        <v>183</v>
      </c>
      <c r="E62" s="12" t="s">
        <v>184</v>
      </c>
      <c r="F62" s="12" t="s">
        <v>137</v>
      </c>
      <c r="G62" s="12" t="s">
        <v>187</v>
      </c>
      <c r="H62" s="12" t="s">
        <v>23</v>
      </c>
      <c r="I62" s="12">
        <v>40.0</v>
      </c>
      <c r="J62" s="12" t="s">
        <v>184</v>
      </c>
      <c r="K62" s="12"/>
      <c r="L62" s="16" t="s">
        <v>58</v>
      </c>
      <c r="M62" s="12">
        <v>2010.0</v>
      </c>
      <c r="N62" s="14" t="s">
        <v>63</v>
      </c>
      <c r="O62" s="15">
        <v>3400.0</v>
      </c>
      <c r="P62" s="12" t="s">
        <v>163</v>
      </c>
      <c r="Q62" s="12">
        <v>111.0</v>
      </c>
    </row>
    <row r="63" ht="15.75" customHeight="1">
      <c r="A63" s="12" t="s">
        <v>188</v>
      </c>
      <c r="B63" s="12" t="s">
        <v>18</v>
      </c>
      <c r="C63" s="12" t="s">
        <v>158</v>
      </c>
      <c r="D63" s="12" t="s">
        <v>183</v>
      </c>
      <c r="E63" s="12" t="s">
        <v>184</v>
      </c>
      <c r="F63" s="12" t="s">
        <v>137</v>
      </c>
      <c r="G63" s="12" t="s">
        <v>189</v>
      </c>
      <c r="H63" s="12" t="s">
        <v>23</v>
      </c>
      <c r="I63" s="12">
        <v>45.0</v>
      </c>
      <c r="J63" s="12" t="s">
        <v>184</v>
      </c>
      <c r="K63" s="12"/>
      <c r="L63" s="16" t="s">
        <v>58</v>
      </c>
      <c r="M63" s="12">
        <v>2002.0</v>
      </c>
      <c r="N63" s="14" t="s">
        <v>63</v>
      </c>
      <c r="O63" s="15">
        <v>1000.0</v>
      </c>
      <c r="P63" s="12" t="s">
        <v>163</v>
      </c>
      <c r="Q63" s="12">
        <v>111.0</v>
      </c>
    </row>
    <row r="64" ht="15.75" customHeight="1">
      <c r="A64" s="12" t="s">
        <v>190</v>
      </c>
      <c r="B64" s="12" t="s">
        <v>18</v>
      </c>
      <c r="C64" s="12" t="s">
        <v>158</v>
      </c>
      <c r="D64" s="12" t="s">
        <v>183</v>
      </c>
      <c r="E64" s="12" t="s">
        <v>184</v>
      </c>
      <c r="F64" s="12" t="s">
        <v>137</v>
      </c>
      <c r="G64" s="12" t="s">
        <v>191</v>
      </c>
      <c r="H64" s="12" t="s">
        <v>106</v>
      </c>
      <c r="I64" s="12">
        <v>45.0</v>
      </c>
      <c r="J64" s="12" t="s">
        <v>184</v>
      </c>
      <c r="K64" s="12"/>
      <c r="L64" s="16" t="s">
        <v>58</v>
      </c>
      <c r="M64" s="12">
        <v>2000.0</v>
      </c>
      <c r="N64" s="14" t="s">
        <v>63</v>
      </c>
      <c r="O64" s="15">
        <v>1000.0</v>
      </c>
      <c r="P64" s="12" t="s">
        <v>163</v>
      </c>
      <c r="Q64" s="12">
        <v>111.0</v>
      </c>
    </row>
    <row r="65" ht="15.75" customHeight="1">
      <c r="A65" s="12" t="s">
        <v>192</v>
      </c>
      <c r="B65" s="12" t="s">
        <v>18</v>
      </c>
      <c r="C65" s="12" t="s">
        <v>158</v>
      </c>
      <c r="D65" s="12" t="s">
        <v>183</v>
      </c>
      <c r="E65" s="12" t="s">
        <v>184</v>
      </c>
      <c r="F65" s="12" t="s">
        <v>137</v>
      </c>
      <c r="G65" s="12" t="s">
        <v>193</v>
      </c>
      <c r="H65" s="12" t="s">
        <v>106</v>
      </c>
      <c r="I65" s="12">
        <v>65.0</v>
      </c>
      <c r="J65" s="12" t="s">
        <v>184</v>
      </c>
      <c r="K65" s="12"/>
      <c r="L65" s="16" t="s">
        <v>58</v>
      </c>
      <c r="M65" s="12">
        <v>1995.0</v>
      </c>
      <c r="N65" s="14" t="s">
        <v>63</v>
      </c>
      <c r="O65" s="15">
        <v>1000.0</v>
      </c>
      <c r="P65" s="12" t="s">
        <v>163</v>
      </c>
      <c r="Q65" s="12">
        <v>111.0</v>
      </c>
    </row>
    <row r="66" ht="15.75" customHeight="1">
      <c r="A66" s="12" t="s">
        <v>194</v>
      </c>
      <c r="B66" s="12" t="s">
        <v>18</v>
      </c>
      <c r="C66" s="12" t="s">
        <v>158</v>
      </c>
      <c r="D66" s="12" t="s">
        <v>183</v>
      </c>
      <c r="E66" s="12" t="s">
        <v>184</v>
      </c>
      <c r="F66" s="12" t="s">
        <v>137</v>
      </c>
      <c r="G66" s="12" t="s">
        <v>195</v>
      </c>
      <c r="H66" s="12" t="s">
        <v>106</v>
      </c>
      <c r="I66" s="12">
        <v>59.0</v>
      </c>
      <c r="J66" s="12" t="s">
        <v>184</v>
      </c>
      <c r="K66" s="12"/>
      <c r="L66" s="16" t="s">
        <v>58</v>
      </c>
      <c r="M66" s="12">
        <v>2010.0</v>
      </c>
      <c r="N66" s="14" t="s">
        <v>63</v>
      </c>
      <c r="O66" s="15">
        <v>3400.0</v>
      </c>
      <c r="P66" s="12" t="s">
        <v>163</v>
      </c>
      <c r="Q66" s="12">
        <v>111.0</v>
      </c>
    </row>
    <row r="67" ht="15.75" customHeight="1">
      <c r="A67" s="12" t="s">
        <v>196</v>
      </c>
      <c r="B67" s="12" t="s">
        <v>18</v>
      </c>
      <c r="C67" s="12" t="s">
        <v>158</v>
      </c>
      <c r="D67" s="12" t="s">
        <v>183</v>
      </c>
      <c r="E67" s="12" t="s">
        <v>184</v>
      </c>
      <c r="F67" s="12" t="s">
        <v>137</v>
      </c>
      <c r="G67" s="12" t="s">
        <v>197</v>
      </c>
      <c r="H67" s="12" t="s">
        <v>106</v>
      </c>
      <c r="I67" s="12">
        <v>59.0</v>
      </c>
      <c r="J67" s="12" t="s">
        <v>184</v>
      </c>
      <c r="K67" s="12"/>
      <c r="L67" s="16" t="s">
        <v>58</v>
      </c>
      <c r="M67" s="12">
        <v>2010.0</v>
      </c>
      <c r="N67" s="14" t="s">
        <v>26</v>
      </c>
      <c r="O67" s="15">
        <v>2400.0</v>
      </c>
      <c r="P67" s="12" t="s">
        <v>163</v>
      </c>
      <c r="Q67" s="12">
        <v>111.0</v>
      </c>
    </row>
    <row r="68" ht="15.75" customHeight="1">
      <c r="A68" s="12" t="s">
        <v>198</v>
      </c>
      <c r="B68" s="12" t="s">
        <v>18</v>
      </c>
      <c r="C68" s="12" t="s">
        <v>158</v>
      </c>
      <c r="D68" s="12" t="s">
        <v>183</v>
      </c>
      <c r="E68" s="12" t="s">
        <v>184</v>
      </c>
      <c r="F68" s="12" t="s">
        <v>137</v>
      </c>
      <c r="G68" s="12" t="s">
        <v>199</v>
      </c>
      <c r="H68" s="12" t="s">
        <v>23</v>
      </c>
      <c r="I68" s="12">
        <v>40.0</v>
      </c>
      <c r="J68" s="12" t="s">
        <v>184</v>
      </c>
      <c r="K68" s="12"/>
      <c r="L68" s="12" t="s">
        <v>58</v>
      </c>
      <c r="M68" s="12">
        <v>2023.0</v>
      </c>
      <c r="N68" s="14" t="s">
        <v>63</v>
      </c>
      <c r="O68" s="15">
        <v>2500.0</v>
      </c>
      <c r="P68" s="12" t="s">
        <v>163</v>
      </c>
      <c r="Q68" s="12">
        <v>111.0</v>
      </c>
    </row>
    <row r="69" ht="15.75" customHeight="1">
      <c r="A69" s="12" t="s">
        <v>200</v>
      </c>
      <c r="B69" s="12" t="s">
        <v>18</v>
      </c>
      <c r="C69" s="12" t="s">
        <v>158</v>
      </c>
      <c r="D69" s="12" t="s">
        <v>183</v>
      </c>
      <c r="E69" s="12" t="s">
        <v>184</v>
      </c>
      <c r="F69" s="12" t="s">
        <v>137</v>
      </c>
      <c r="G69" s="12" t="s">
        <v>201</v>
      </c>
      <c r="H69" s="12" t="s">
        <v>106</v>
      </c>
      <c r="I69" s="12">
        <v>71.0</v>
      </c>
      <c r="J69" s="12" t="s">
        <v>184</v>
      </c>
      <c r="K69" s="12"/>
      <c r="L69" s="12" t="s">
        <v>44</v>
      </c>
      <c r="M69" s="12">
        <v>2023.0</v>
      </c>
      <c r="N69" s="14" t="s">
        <v>63</v>
      </c>
      <c r="O69" s="15">
        <v>2500.0</v>
      </c>
      <c r="P69" s="12" t="s">
        <v>163</v>
      </c>
      <c r="Q69" s="12">
        <v>111.0</v>
      </c>
    </row>
    <row r="70" ht="15.75" customHeight="1">
      <c r="A70" s="12" t="s">
        <v>202</v>
      </c>
      <c r="B70" s="12" t="s">
        <v>18</v>
      </c>
      <c r="C70" s="12" t="s">
        <v>158</v>
      </c>
      <c r="D70" s="12" t="s">
        <v>183</v>
      </c>
      <c r="E70" s="12" t="s">
        <v>184</v>
      </c>
      <c r="F70" s="12" t="s">
        <v>137</v>
      </c>
      <c r="G70" s="12" t="s">
        <v>203</v>
      </c>
      <c r="H70" s="12" t="s">
        <v>106</v>
      </c>
      <c r="I70" s="12">
        <v>50.0</v>
      </c>
      <c r="J70" s="12" t="s">
        <v>184</v>
      </c>
      <c r="K70" s="12"/>
      <c r="L70" s="12" t="s">
        <v>38</v>
      </c>
      <c r="M70" s="12">
        <v>2015.0</v>
      </c>
      <c r="N70" s="14" t="s">
        <v>63</v>
      </c>
      <c r="O70" s="15">
        <v>5000.0</v>
      </c>
      <c r="P70" s="12" t="s">
        <v>163</v>
      </c>
      <c r="Q70" s="12">
        <v>111.0</v>
      </c>
    </row>
    <row r="71" ht="15.75" customHeight="1">
      <c r="A71" s="12" t="s">
        <v>204</v>
      </c>
      <c r="B71" s="12" t="s">
        <v>18</v>
      </c>
      <c r="C71" s="12" t="s">
        <v>158</v>
      </c>
      <c r="D71" s="12" t="s">
        <v>183</v>
      </c>
      <c r="E71" s="12" t="s">
        <v>184</v>
      </c>
      <c r="F71" s="12" t="s">
        <v>137</v>
      </c>
      <c r="G71" s="12" t="s">
        <v>205</v>
      </c>
      <c r="H71" s="12" t="s">
        <v>106</v>
      </c>
      <c r="I71" s="12">
        <v>67.0</v>
      </c>
      <c r="J71" s="12" t="s">
        <v>184</v>
      </c>
      <c r="K71" s="12"/>
      <c r="L71" s="12" t="s">
        <v>58</v>
      </c>
      <c r="M71" s="12">
        <v>1990.0</v>
      </c>
      <c r="N71" s="14" t="s">
        <v>63</v>
      </c>
      <c r="O71" s="15">
        <v>2500.0</v>
      </c>
      <c r="P71" s="12" t="s">
        <v>163</v>
      </c>
      <c r="Q71" s="12">
        <v>111.0</v>
      </c>
    </row>
    <row r="72" ht="15.75" customHeight="1">
      <c r="A72" s="12" t="s">
        <v>206</v>
      </c>
      <c r="B72" s="12" t="s">
        <v>18</v>
      </c>
      <c r="C72" s="12" t="s">
        <v>158</v>
      </c>
      <c r="D72" s="12" t="s">
        <v>183</v>
      </c>
      <c r="E72" s="12" t="s">
        <v>184</v>
      </c>
      <c r="F72" s="12" t="s">
        <v>137</v>
      </c>
      <c r="G72" s="12" t="s">
        <v>207</v>
      </c>
      <c r="H72" s="12" t="s">
        <v>23</v>
      </c>
      <c r="I72" s="12">
        <v>48.0</v>
      </c>
      <c r="J72" s="12" t="s">
        <v>184</v>
      </c>
      <c r="K72" s="12"/>
      <c r="L72" s="12" t="s">
        <v>58</v>
      </c>
      <c r="M72" s="12">
        <v>2012.0</v>
      </c>
      <c r="N72" s="14" t="s">
        <v>63</v>
      </c>
      <c r="O72" s="15">
        <v>1000.0</v>
      </c>
      <c r="P72" s="12" t="s">
        <v>163</v>
      </c>
      <c r="Q72" s="12">
        <v>111.0</v>
      </c>
    </row>
    <row r="73" ht="15.75" customHeight="1">
      <c r="A73" s="12" t="s">
        <v>208</v>
      </c>
      <c r="B73" s="12" t="s">
        <v>18</v>
      </c>
      <c r="C73" s="12" t="s">
        <v>158</v>
      </c>
      <c r="D73" s="12" t="s">
        <v>183</v>
      </c>
      <c r="E73" s="12" t="s">
        <v>184</v>
      </c>
      <c r="F73" s="12" t="s">
        <v>137</v>
      </c>
      <c r="G73" s="12" t="s">
        <v>209</v>
      </c>
      <c r="H73" s="12" t="s">
        <v>23</v>
      </c>
      <c r="I73" s="12">
        <v>36.0</v>
      </c>
      <c r="J73" s="12" t="s">
        <v>184</v>
      </c>
      <c r="K73" s="12"/>
      <c r="L73" s="12" t="s">
        <v>58</v>
      </c>
      <c r="M73" s="12">
        <v>2013.0</v>
      </c>
      <c r="N73" s="14" t="s">
        <v>63</v>
      </c>
      <c r="O73" s="15">
        <v>500.0</v>
      </c>
      <c r="P73" s="12" t="s">
        <v>163</v>
      </c>
      <c r="Q73" s="12">
        <v>111.0</v>
      </c>
    </row>
    <row r="74" ht="15.75" customHeight="1">
      <c r="A74" s="12" t="s">
        <v>210</v>
      </c>
      <c r="B74" s="12" t="s">
        <v>18</v>
      </c>
      <c r="C74" s="12" t="s">
        <v>158</v>
      </c>
      <c r="D74" s="12" t="s">
        <v>183</v>
      </c>
      <c r="E74" s="12" t="s">
        <v>184</v>
      </c>
      <c r="F74" s="12" t="s">
        <v>137</v>
      </c>
      <c r="G74" s="12" t="s">
        <v>211</v>
      </c>
      <c r="H74" s="12" t="s">
        <v>23</v>
      </c>
      <c r="I74" s="12">
        <v>38.0</v>
      </c>
      <c r="J74" s="12" t="s">
        <v>184</v>
      </c>
      <c r="K74" s="12"/>
      <c r="L74" s="12" t="s">
        <v>58</v>
      </c>
      <c r="M74" s="12">
        <v>2020.0</v>
      </c>
      <c r="N74" s="14" t="s">
        <v>63</v>
      </c>
      <c r="O74" s="15">
        <v>2000.0</v>
      </c>
      <c r="P74" s="12" t="s">
        <v>163</v>
      </c>
      <c r="Q74" s="12">
        <v>111.0</v>
      </c>
    </row>
    <row r="75" ht="15.75" customHeight="1">
      <c r="A75" s="12" t="s">
        <v>212</v>
      </c>
      <c r="B75" s="12" t="s">
        <v>18</v>
      </c>
      <c r="C75" s="12" t="s">
        <v>158</v>
      </c>
      <c r="D75" s="12" t="s">
        <v>213</v>
      </c>
      <c r="E75" s="12" t="s">
        <v>214</v>
      </c>
      <c r="F75" s="12" t="s">
        <v>137</v>
      </c>
      <c r="G75" s="12" t="s">
        <v>215</v>
      </c>
      <c r="H75" s="12" t="s">
        <v>23</v>
      </c>
      <c r="I75" s="12">
        <v>47.0</v>
      </c>
      <c r="J75" s="12" t="s">
        <v>214</v>
      </c>
      <c r="K75" s="12"/>
      <c r="L75" s="12" t="s">
        <v>38</v>
      </c>
      <c r="M75" s="12">
        <v>2015.0</v>
      </c>
      <c r="N75" s="14" t="s">
        <v>31</v>
      </c>
      <c r="O75" s="15">
        <v>5000.0</v>
      </c>
      <c r="P75" s="12" t="s">
        <v>216</v>
      </c>
      <c r="Q75" s="12">
        <v>75.0</v>
      </c>
    </row>
    <row r="76" ht="15.75" customHeight="1">
      <c r="A76" s="12" t="s">
        <v>217</v>
      </c>
      <c r="B76" s="12" t="s">
        <v>18</v>
      </c>
      <c r="C76" s="12" t="s">
        <v>158</v>
      </c>
      <c r="D76" s="12" t="s">
        <v>213</v>
      </c>
      <c r="E76" s="12" t="s">
        <v>214</v>
      </c>
      <c r="F76" s="12" t="s">
        <v>137</v>
      </c>
      <c r="G76" s="12" t="s">
        <v>218</v>
      </c>
      <c r="H76" s="12" t="s">
        <v>23</v>
      </c>
      <c r="I76" s="12">
        <v>65.0</v>
      </c>
      <c r="J76" s="12" t="s">
        <v>214</v>
      </c>
      <c r="K76" s="12"/>
      <c r="L76" s="12" t="s">
        <v>58</v>
      </c>
      <c r="M76" s="12">
        <v>2010.0</v>
      </c>
      <c r="N76" s="14" t="s">
        <v>31</v>
      </c>
      <c r="O76" s="15">
        <v>10000.0</v>
      </c>
      <c r="P76" s="12" t="s">
        <v>216</v>
      </c>
      <c r="Q76" s="12">
        <v>75.0</v>
      </c>
    </row>
    <row r="77" ht="15.75" customHeight="1">
      <c r="A77" s="12" t="s">
        <v>219</v>
      </c>
      <c r="B77" s="12" t="s">
        <v>18</v>
      </c>
      <c r="C77" s="12" t="s">
        <v>158</v>
      </c>
      <c r="D77" s="12" t="s">
        <v>213</v>
      </c>
      <c r="E77" s="12" t="s">
        <v>214</v>
      </c>
      <c r="F77" s="12" t="s">
        <v>137</v>
      </c>
      <c r="G77" s="12" t="s">
        <v>220</v>
      </c>
      <c r="H77" s="12" t="s">
        <v>23</v>
      </c>
      <c r="I77" s="12">
        <v>37.0</v>
      </c>
      <c r="J77" s="12" t="s">
        <v>214</v>
      </c>
      <c r="K77" s="12"/>
      <c r="L77" s="12" t="s">
        <v>38</v>
      </c>
      <c r="M77" s="12">
        <v>2009.0</v>
      </c>
      <c r="N77" s="14" t="s">
        <v>31</v>
      </c>
      <c r="O77" s="15">
        <v>5000.0</v>
      </c>
      <c r="P77" s="12" t="s">
        <v>216</v>
      </c>
      <c r="Q77" s="12">
        <v>75.0</v>
      </c>
    </row>
    <row r="78" ht="15.75" customHeight="1">
      <c r="A78" s="12" t="s">
        <v>221</v>
      </c>
      <c r="B78" s="12" t="s">
        <v>18</v>
      </c>
      <c r="C78" s="12" t="s">
        <v>158</v>
      </c>
      <c r="D78" s="12" t="s">
        <v>213</v>
      </c>
      <c r="E78" s="12" t="s">
        <v>214</v>
      </c>
      <c r="F78" s="12" t="s">
        <v>137</v>
      </c>
      <c r="G78" s="12" t="s">
        <v>222</v>
      </c>
      <c r="H78" s="12" t="s">
        <v>106</v>
      </c>
      <c r="I78" s="12">
        <v>49.0</v>
      </c>
      <c r="J78" s="12" t="s">
        <v>214</v>
      </c>
      <c r="K78" s="12"/>
      <c r="L78" s="12" t="s">
        <v>44</v>
      </c>
      <c r="M78" s="12">
        <v>2019.0</v>
      </c>
      <c r="N78" s="14" t="s">
        <v>31</v>
      </c>
      <c r="O78" s="15">
        <v>10000.0</v>
      </c>
      <c r="P78" s="12" t="s">
        <v>216</v>
      </c>
      <c r="Q78" s="12">
        <v>75.0</v>
      </c>
    </row>
    <row r="79" ht="15.75" customHeight="1">
      <c r="A79" s="12" t="s">
        <v>223</v>
      </c>
      <c r="B79" s="12" t="s">
        <v>18</v>
      </c>
      <c r="C79" s="12" t="s">
        <v>158</v>
      </c>
      <c r="D79" s="12" t="s">
        <v>213</v>
      </c>
      <c r="E79" s="12" t="s">
        <v>214</v>
      </c>
      <c r="F79" s="12" t="s">
        <v>137</v>
      </c>
      <c r="G79" s="12" t="s">
        <v>224</v>
      </c>
      <c r="H79" s="12" t="s">
        <v>23</v>
      </c>
      <c r="I79" s="12">
        <v>60.0</v>
      </c>
      <c r="J79" s="12" t="s">
        <v>214</v>
      </c>
      <c r="K79" s="12"/>
      <c r="L79" s="12" t="s">
        <v>58</v>
      </c>
      <c r="M79" s="12">
        <v>2005.0</v>
      </c>
      <c r="N79" s="14" t="s">
        <v>31</v>
      </c>
      <c r="O79" s="15">
        <v>300.0</v>
      </c>
      <c r="P79" s="12" t="s">
        <v>216</v>
      </c>
      <c r="Q79" s="12">
        <v>75.0</v>
      </c>
    </row>
    <row r="80" ht="15.75" customHeight="1">
      <c r="A80" s="12" t="s">
        <v>225</v>
      </c>
      <c r="B80" s="12" t="s">
        <v>18</v>
      </c>
      <c r="C80" s="12" t="s">
        <v>158</v>
      </c>
      <c r="D80" s="12" t="s">
        <v>213</v>
      </c>
      <c r="E80" s="12" t="s">
        <v>214</v>
      </c>
      <c r="F80" s="12" t="s">
        <v>137</v>
      </c>
      <c r="G80" s="12" t="s">
        <v>226</v>
      </c>
      <c r="H80" s="12" t="s">
        <v>23</v>
      </c>
      <c r="I80" s="12">
        <v>26.0</v>
      </c>
      <c r="J80" s="12" t="s">
        <v>214</v>
      </c>
      <c r="K80" s="12"/>
      <c r="L80" s="12" t="s">
        <v>44</v>
      </c>
      <c r="M80" s="12">
        <v>2019.0</v>
      </c>
      <c r="N80" s="14" t="s">
        <v>31</v>
      </c>
      <c r="O80" s="15">
        <v>10000.0</v>
      </c>
      <c r="P80" s="12" t="s">
        <v>216</v>
      </c>
      <c r="Q80" s="12">
        <v>75.0</v>
      </c>
    </row>
    <row r="81" ht="15.75" customHeight="1">
      <c r="A81" s="12" t="s">
        <v>227</v>
      </c>
      <c r="B81" s="12" t="s">
        <v>18</v>
      </c>
      <c r="C81" s="12" t="s">
        <v>158</v>
      </c>
      <c r="D81" s="12" t="s">
        <v>213</v>
      </c>
      <c r="E81" s="12" t="s">
        <v>214</v>
      </c>
      <c r="F81" s="12" t="s">
        <v>137</v>
      </c>
      <c r="G81" s="12" t="s">
        <v>228</v>
      </c>
      <c r="H81" s="12" t="s">
        <v>106</v>
      </c>
      <c r="I81" s="12">
        <v>75.0</v>
      </c>
      <c r="J81" s="12" t="s">
        <v>214</v>
      </c>
      <c r="K81" s="12"/>
      <c r="L81" s="12" t="s">
        <v>38</v>
      </c>
      <c r="M81" s="12">
        <v>1999.0</v>
      </c>
      <c r="N81" s="14" t="s">
        <v>31</v>
      </c>
      <c r="O81" s="15">
        <v>10000.0</v>
      </c>
      <c r="P81" s="12" t="s">
        <v>216</v>
      </c>
      <c r="Q81" s="12">
        <v>75.0</v>
      </c>
    </row>
    <row r="82" ht="15.75" customHeight="1">
      <c r="A82" s="12" t="s">
        <v>229</v>
      </c>
      <c r="B82" s="12" t="s">
        <v>18</v>
      </c>
      <c r="C82" s="12" t="s">
        <v>158</v>
      </c>
      <c r="D82" s="12" t="s">
        <v>213</v>
      </c>
      <c r="E82" s="12" t="s">
        <v>214</v>
      </c>
      <c r="F82" s="12" t="s">
        <v>137</v>
      </c>
      <c r="G82" s="12" t="s">
        <v>230</v>
      </c>
      <c r="H82" s="12" t="s">
        <v>106</v>
      </c>
      <c r="I82" s="12">
        <v>42.0</v>
      </c>
      <c r="J82" s="12" t="s">
        <v>214</v>
      </c>
      <c r="K82" s="12"/>
      <c r="L82" s="12" t="s">
        <v>25</v>
      </c>
      <c r="M82" s="12">
        <v>2000.0</v>
      </c>
      <c r="N82" s="14" t="s">
        <v>31</v>
      </c>
      <c r="O82" s="15">
        <v>10000.0</v>
      </c>
      <c r="P82" s="12" t="s">
        <v>216</v>
      </c>
      <c r="Q82" s="12">
        <v>75.0</v>
      </c>
    </row>
    <row r="83" ht="15.75" customHeight="1">
      <c r="A83" s="12" t="s">
        <v>231</v>
      </c>
      <c r="B83" s="12" t="s">
        <v>18</v>
      </c>
      <c r="C83" s="12" t="s">
        <v>158</v>
      </c>
      <c r="D83" s="12" t="s">
        <v>213</v>
      </c>
      <c r="E83" s="12" t="s">
        <v>214</v>
      </c>
      <c r="F83" s="12" t="s">
        <v>137</v>
      </c>
      <c r="G83" s="12" t="s">
        <v>232</v>
      </c>
      <c r="H83" s="12" t="s">
        <v>106</v>
      </c>
      <c r="I83" s="12">
        <v>65.0</v>
      </c>
      <c r="J83" s="12" t="s">
        <v>214</v>
      </c>
      <c r="K83" s="12"/>
      <c r="L83" s="12" t="s">
        <v>44</v>
      </c>
      <c r="M83" s="12">
        <v>1989.0</v>
      </c>
      <c r="N83" s="14" t="s">
        <v>31</v>
      </c>
      <c r="O83" s="15">
        <v>10000.0</v>
      </c>
      <c r="P83" s="12" t="s">
        <v>216</v>
      </c>
      <c r="Q83" s="12">
        <v>75.0</v>
      </c>
    </row>
    <row r="84" ht="15.75" customHeight="1">
      <c r="A84" s="12" t="s">
        <v>233</v>
      </c>
      <c r="B84" s="12" t="s">
        <v>18</v>
      </c>
      <c r="C84" s="12" t="s">
        <v>158</v>
      </c>
      <c r="D84" s="12" t="s">
        <v>213</v>
      </c>
      <c r="E84" s="12" t="s">
        <v>214</v>
      </c>
      <c r="F84" s="12" t="s">
        <v>137</v>
      </c>
      <c r="G84" s="12" t="s">
        <v>234</v>
      </c>
      <c r="H84" s="12" t="s">
        <v>23</v>
      </c>
      <c r="I84" s="12">
        <v>30.0</v>
      </c>
      <c r="J84" s="12" t="s">
        <v>214</v>
      </c>
      <c r="K84" s="12"/>
      <c r="L84" s="12" t="s">
        <v>44</v>
      </c>
      <c r="M84" s="12">
        <v>2005.0</v>
      </c>
      <c r="N84" s="14" t="s">
        <v>31</v>
      </c>
      <c r="O84" s="15">
        <v>300.0</v>
      </c>
      <c r="P84" s="12" t="s">
        <v>216</v>
      </c>
      <c r="Q84" s="12">
        <v>75.0</v>
      </c>
    </row>
    <row r="85" ht="15.75" customHeight="1">
      <c r="A85" s="12" t="s">
        <v>235</v>
      </c>
      <c r="B85" s="12" t="s">
        <v>18</v>
      </c>
      <c r="C85" s="12" t="s">
        <v>158</v>
      </c>
      <c r="D85" s="12" t="s">
        <v>236</v>
      </c>
      <c r="E85" s="12" t="s">
        <v>237</v>
      </c>
      <c r="F85" s="20"/>
      <c r="G85" s="12" t="s">
        <v>238</v>
      </c>
      <c r="H85" s="12" t="s">
        <v>23</v>
      </c>
      <c r="I85" s="12">
        <v>68.0</v>
      </c>
      <c r="J85" s="13" t="s">
        <v>239</v>
      </c>
      <c r="K85" s="20"/>
      <c r="L85" s="12" t="s">
        <v>58</v>
      </c>
      <c r="M85" s="12">
        <v>1999.0</v>
      </c>
      <c r="N85" s="14" t="s">
        <v>26</v>
      </c>
      <c r="O85" s="15">
        <v>300.0</v>
      </c>
      <c r="P85" s="12" t="s">
        <v>216</v>
      </c>
      <c r="Q85" s="12">
        <v>125.0</v>
      </c>
    </row>
    <row r="86" ht="15.75" customHeight="1">
      <c r="A86" s="12" t="s">
        <v>240</v>
      </c>
      <c r="B86" s="12" t="s">
        <v>18</v>
      </c>
      <c r="C86" s="12" t="s">
        <v>158</v>
      </c>
      <c r="D86" s="12" t="s">
        <v>236</v>
      </c>
      <c r="E86" s="12" t="s">
        <v>237</v>
      </c>
      <c r="F86" s="20"/>
      <c r="G86" s="12" t="s">
        <v>241</v>
      </c>
      <c r="H86" s="12" t="s">
        <v>23</v>
      </c>
      <c r="I86" s="12">
        <v>55.0</v>
      </c>
      <c r="J86" s="13" t="s">
        <v>239</v>
      </c>
      <c r="K86" s="20"/>
      <c r="L86" s="12" t="s">
        <v>44</v>
      </c>
      <c r="M86" s="12">
        <v>2000.0</v>
      </c>
      <c r="N86" s="14" t="s">
        <v>31</v>
      </c>
      <c r="O86" s="15">
        <v>300.0</v>
      </c>
      <c r="P86" s="12" t="s">
        <v>216</v>
      </c>
      <c r="Q86" s="12">
        <v>75.0</v>
      </c>
    </row>
    <row r="87" ht="15.75" customHeight="1">
      <c r="A87" s="12" t="s">
        <v>242</v>
      </c>
      <c r="B87" s="12" t="s">
        <v>18</v>
      </c>
      <c r="C87" s="12" t="s">
        <v>158</v>
      </c>
      <c r="D87" s="12" t="s">
        <v>236</v>
      </c>
      <c r="E87" s="12" t="s">
        <v>237</v>
      </c>
      <c r="F87" s="20"/>
      <c r="G87" s="12" t="s">
        <v>243</v>
      </c>
      <c r="H87" s="12" t="s">
        <v>23</v>
      </c>
      <c r="I87" s="12">
        <v>50.0</v>
      </c>
      <c r="J87" s="13" t="s">
        <v>239</v>
      </c>
      <c r="K87" s="20"/>
      <c r="L87" s="12" t="s">
        <v>44</v>
      </c>
      <c r="M87" s="12">
        <v>2006.0</v>
      </c>
      <c r="N87" s="14" t="s">
        <v>26</v>
      </c>
      <c r="O87" s="15">
        <v>500.0</v>
      </c>
      <c r="P87" s="12" t="s">
        <v>216</v>
      </c>
      <c r="Q87" s="12">
        <v>75.0</v>
      </c>
    </row>
    <row r="88" ht="15.75" customHeight="1">
      <c r="A88" s="12" t="s">
        <v>244</v>
      </c>
      <c r="B88" s="12" t="s">
        <v>18</v>
      </c>
      <c r="C88" s="12" t="s">
        <v>158</v>
      </c>
      <c r="D88" s="12" t="s">
        <v>236</v>
      </c>
      <c r="E88" s="12" t="s">
        <v>237</v>
      </c>
      <c r="F88" s="20"/>
      <c r="G88" s="12" t="s">
        <v>245</v>
      </c>
      <c r="H88" s="12" t="s">
        <v>23</v>
      </c>
      <c r="I88" s="12">
        <v>40.0</v>
      </c>
      <c r="J88" s="13" t="s">
        <v>239</v>
      </c>
      <c r="K88" s="20"/>
      <c r="L88" s="12" t="s">
        <v>44</v>
      </c>
      <c r="M88" s="12">
        <v>2006.0</v>
      </c>
      <c r="N88" s="14" t="s">
        <v>26</v>
      </c>
      <c r="O88" s="15">
        <v>400.0</v>
      </c>
      <c r="P88" s="12" t="s">
        <v>216</v>
      </c>
      <c r="Q88" s="12">
        <v>75.0</v>
      </c>
    </row>
    <row r="89" ht="15.75" customHeight="1">
      <c r="A89" s="12" t="s">
        <v>246</v>
      </c>
      <c r="B89" s="12" t="s">
        <v>18</v>
      </c>
      <c r="C89" s="12" t="s">
        <v>158</v>
      </c>
      <c r="D89" s="12" t="s">
        <v>236</v>
      </c>
      <c r="E89" s="12" t="s">
        <v>237</v>
      </c>
      <c r="F89" s="20"/>
      <c r="G89" s="12" t="s">
        <v>247</v>
      </c>
      <c r="H89" s="12" t="s">
        <v>23</v>
      </c>
      <c r="I89" s="12">
        <v>55.0</v>
      </c>
      <c r="J89" s="13" t="s">
        <v>239</v>
      </c>
      <c r="K89" s="20"/>
      <c r="L89" s="12" t="s">
        <v>44</v>
      </c>
      <c r="M89" s="12">
        <v>2006.0</v>
      </c>
      <c r="N89" s="14" t="s">
        <v>31</v>
      </c>
      <c r="O89" s="15">
        <v>300.0</v>
      </c>
      <c r="P89" s="12" t="s">
        <v>216</v>
      </c>
      <c r="Q89" s="12">
        <v>75.0</v>
      </c>
    </row>
    <row r="90" ht="15.75" customHeight="1">
      <c r="A90" s="12" t="s">
        <v>248</v>
      </c>
      <c r="B90" s="12" t="s">
        <v>18</v>
      </c>
      <c r="C90" s="12" t="s">
        <v>158</v>
      </c>
      <c r="D90" s="12" t="s">
        <v>236</v>
      </c>
      <c r="E90" s="12" t="s">
        <v>237</v>
      </c>
      <c r="F90" s="20"/>
      <c r="G90" s="12" t="s">
        <v>249</v>
      </c>
      <c r="H90" s="12" t="s">
        <v>23</v>
      </c>
      <c r="I90" s="12">
        <v>61.0</v>
      </c>
      <c r="J90" s="13" t="s">
        <v>239</v>
      </c>
      <c r="K90" s="20"/>
      <c r="L90" s="12" t="s">
        <v>38</v>
      </c>
      <c r="M90" s="12">
        <v>2000.0</v>
      </c>
      <c r="N90" s="14" t="s">
        <v>26</v>
      </c>
      <c r="O90" s="15">
        <v>500.0</v>
      </c>
      <c r="P90" s="12" t="s">
        <v>216</v>
      </c>
      <c r="Q90" s="12">
        <v>75.0</v>
      </c>
    </row>
    <row r="91" ht="15.75" customHeight="1">
      <c r="A91" s="12" t="s">
        <v>250</v>
      </c>
      <c r="B91" s="12" t="s">
        <v>18</v>
      </c>
      <c r="C91" s="12" t="s">
        <v>158</v>
      </c>
      <c r="D91" s="12" t="s">
        <v>236</v>
      </c>
      <c r="E91" s="12" t="s">
        <v>237</v>
      </c>
      <c r="F91" s="20"/>
      <c r="G91" s="12" t="s">
        <v>251</v>
      </c>
      <c r="H91" s="12" t="s">
        <v>23</v>
      </c>
      <c r="I91" s="12">
        <v>43.0</v>
      </c>
      <c r="J91" s="13" t="s">
        <v>239</v>
      </c>
      <c r="K91" s="20"/>
      <c r="L91" s="12" t="s">
        <v>44</v>
      </c>
      <c r="M91" s="12">
        <v>2004.0</v>
      </c>
      <c r="N91" s="14" t="s">
        <v>31</v>
      </c>
      <c r="O91" s="15">
        <v>1000.0</v>
      </c>
      <c r="P91" s="12" t="s">
        <v>216</v>
      </c>
      <c r="Q91" s="12">
        <v>75.0</v>
      </c>
    </row>
    <row r="92" ht="15.75" customHeight="1">
      <c r="A92" s="12" t="s">
        <v>252</v>
      </c>
      <c r="B92" s="12" t="s">
        <v>18</v>
      </c>
      <c r="C92" s="12" t="s">
        <v>158</v>
      </c>
      <c r="D92" s="12" t="s">
        <v>236</v>
      </c>
      <c r="E92" s="12" t="s">
        <v>237</v>
      </c>
      <c r="F92" s="20"/>
      <c r="G92" s="12" t="s">
        <v>253</v>
      </c>
      <c r="H92" s="12" t="s">
        <v>23</v>
      </c>
      <c r="I92" s="12">
        <v>70.0</v>
      </c>
      <c r="J92" s="13" t="s">
        <v>239</v>
      </c>
      <c r="K92" s="20"/>
      <c r="L92" s="12" t="s">
        <v>44</v>
      </c>
      <c r="M92" s="12">
        <v>1982.0</v>
      </c>
      <c r="N92" s="14" t="s">
        <v>26</v>
      </c>
      <c r="O92" s="15">
        <v>700.0</v>
      </c>
      <c r="P92" s="12" t="s">
        <v>100</v>
      </c>
      <c r="Q92" s="12">
        <v>110.0</v>
      </c>
    </row>
    <row r="93" ht="15.75" customHeight="1">
      <c r="A93" s="12" t="s">
        <v>254</v>
      </c>
      <c r="B93" s="12" t="s">
        <v>18</v>
      </c>
      <c r="C93" s="12" t="s">
        <v>158</v>
      </c>
      <c r="D93" s="12" t="s">
        <v>236</v>
      </c>
      <c r="E93" s="12" t="s">
        <v>237</v>
      </c>
      <c r="F93" s="20"/>
      <c r="G93" s="12" t="s">
        <v>255</v>
      </c>
      <c r="H93" s="12" t="s">
        <v>23</v>
      </c>
      <c r="I93" s="12">
        <v>43.0</v>
      </c>
      <c r="J93" s="13" t="s">
        <v>239</v>
      </c>
      <c r="K93" s="20"/>
      <c r="L93" s="12" t="s">
        <v>25</v>
      </c>
      <c r="M93" s="12">
        <v>2000.0</v>
      </c>
      <c r="N93" s="14" t="s">
        <v>26</v>
      </c>
      <c r="O93" s="15">
        <v>5000.0</v>
      </c>
      <c r="P93" s="12" t="s">
        <v>216</v>
      </c>
      <c r="Q93" s="12">
        <v>75.0</v>
      </c>
    </row>
    <row r="94" ht="15.75" customHeight="1">
      <c r="A94" s="21" t="s">
        <v>256</v>
      </c>
      <c r="B94" s="21" t="s">
        <v>18</v>
      </c>
      <c r="C94" s="21" t="s">
        <v>257</v>
      </c>
      <c r="D94" s="21" t="s">
        <v>257</v>
      </c>
      <c r="E94" s="21" t="s">
        <v>258</v>
      </c>
      <c r="F94" s="22"/>
      <c r="G94" s="21" t="s">
        <v>259</v>
      </c>
      <c r="H94" s="21" t="s">
        <v>106</v>
      </c>
      <c r="I94" s="21">
        <v>70.0</v>
      </c>
      <c r="J94" s="21" t="s">
        <v>258</v>
      </c>
      <c r="K94" s="22"/>
      <c r="L94" s="21" t="s">
        <v>58</v>
      </c>
      <c r="M94" s="21">
        <v>1999.0</v>
      </c>
      <c r="N94" s="23" t="s">
        <v>26</v>
      </c>
      <c r="O94" s="24">
        <v>7500.0</v>
      </c>
      <c r="P94" s="21" t="s">
        <v>260</v>
      </c>
      <c r="Q94" s="21">
        <v>95.0</v>
      </c>
    </row>
    <row r="95" ht="15.75" customHeight="1">
      <c r="A95" s="21" t="s">
        <v>261</v>
      </c>
      <c r="B95" s="21" t="s">
        <v>18</v>
      </c>
      <c r="C95" s="21" t="s">
        <v>257</v>
      </c>
      <c r="D95" s="21" t="s">
        <v>257</v>
      </c>
      <c r="E95" s="21" t="s">
        <v>258</v>
      </c>
      <c r="F95" s="22"/>
      <c r="G95" s="21" t="s">
        <v>262</v>
      </c>
      <c r="H95" s="21" t="s">
        <v>106</v>
      </c>
      <c r="I95" s="21">
        <v>60.0</v>
      </c>
      <c r="J95" s="21" t="s">
        <v>258</v>
      </c>
      <c r="K95" s="22"/>
      <c r="L95" s="21" t="s">
        <v>38</v>
      </c>
      <c r="M95" s="21">
        <v>1995.0</v>
      </c>
      <c r="N95" s="23" t="s">
        <v>26</v>
      </c>
      <c r="O95" s="24">
        <v>8432.0</v>
      </c>
      <c r="P95" s="21" t="s">
        <v>260</v>
      </c>
      <c r="Q95" s="21">
        <v>95.0</v>
      </c>
    </row>
    <row r="96" ht="15.75" customHeight="1">
      <c r="A96" s="21" t="s">
        <v>263</v>
      </c>
      <c r="B96" s="21" t="s">
        <v>18</v>
      </c>
      <c r="C96" s="21" t="s">
        <v>257</v>
      </c>
      <c r="D96" s="21" t="s">
        <v>257</v>
      </c>
      <c r="E96" s="21" t="s">
        <v>258</v>
      </c>
      <c r="F96" s="22"/>
      <c r="G96" s="21" t="s">
        <v>264</v>
      </c>
      <c r="H96" s="21" t="s">
        <v>106</v>
      </c>
      <c r="I96" s="21">
        <v>41.0</v>
      </c>
      <c r="J96" s="21" t="s">
        <v>258</v>
      </c>
      <c r="K96" s="22"/>
      <c r="L96" s="21" t="s">
        <v>25</v>
      </c>
      <c r="M96" s="21">
        <v>2012.0</v>
      </c>
      <c r="N96" s="23" t="s">
        <v>26</v>
      </c>
      <c r="O96" s="24">
        <v>2500.0</v>
      </c>
      <c r="P96" s="21" t="s">
        <v>35</v>
      </c>
      <c r="Q96" s="21">
        <v>120.0</v>
      </c>
    </row>
    <row r="97" ht="15.75" customHeight="1">
      <c r="A97" s="21" t="s">
        <v>265</v>
      </c>
      <c r="B97" s="21" t="s">
        <v>18</v>
      </c>
      <c r="C97" s="21" t="s">
        <v>257</v>
      </c>
      <c r="D97" s="21" t="s">
        <v>257</v>
      </c>
      <c r="E97" s="21" t="s">
        <v>258</v>
      </c>
      <c r="F97" s="22"/>
      <c r="G97" s="21" t="s">
        <v>266</v>
      </c>
      <c r="H97" s="21" t="s">
        <v>106</v>
      </c>
      <c r="I97" s="21">
        <v>42.0</v>
      </c>
      <c r="J97" s="21" t="s">
        <v>258</v>
      </c>
      <c r="K97" s="22"/>
      <c r="L97" s="21" t="s">
        <v>25</v>
      </c>
      <c r="M97" s="21">
        <v>2016.0</v>
      </c>
      <c r="N97" s="23" t="s">
        <v>26</v>
      </c>
      <c r="O97" s="24">
        <v>5000.0</v>
      </c>
      <c r="P97" s="21" t="s">
        <v>260</v>
      </c>
      <c r="Q97" s="21">
        <v>95.0</v>
      </c>
    </row>
    <row r="98" ht="15.75" customHeight="1">
      <c r="A98" s="21" t="s">
        <v>267</v>
      </c>
      <c r="B98" s="21" t="s">
        <v>18</v>
      </c>
      <c r="C98" s="21" t="s">
        <v>257</v>
      </c>
      <c r="D98" s="21" t="s">
        <v>257</v>
      </c>
      <c r="E98" s="21" t="s">
        <v>258</v>
      </c>
      <c r="F98" s="22"/>
      <c r="G98" s="21" t="s">
        <v>268</v>
      </c>
      <c r="H98" s="21" t="s">
        <v>106</v>
      </c>
      <c r="I98" s="21">
        <v>65.0</v>
      </c>
      <c r="J98" s="25" t="s">
        <v>258</v>
      </c>
      <c r="K98" s="22"/>
      <c r="L98" s="21" t="s">
        <v>58</v>
      </c>
      <c r="M98" s="21">
        <v>2017.0</v>
      </c>
      <c r="N98" s="23" t="s">
        <v>26</v>
      </c>
      <c r="O98" s="24">
        <v>3750.0</v>
      </c>
      <c r="P98" s="21" t="s">
        <v>260</v>
      </c>
      <c r="Q98" s="21">
        <v>95.0</v>
      </c>
    </row>
    <row r="99" ht="15.75" customHeight="1">
      <c r="A99" s="21" t="s">
        <v>269</v>
      </c>
      <c r="B99" s="21" t="s">
        <v>18</v>
      </c>
      <c r="C99" s="21" t="s">
        <v>257</v>
      </c>
      <c r="D99" s="21" t="s">
        <v>257</v>
      </c>
      <c r="E99" s="21" t="s">
        <v>258</v>
      </c>
      <c r="F99" s="22"/>
      <c r="G99" s="21" t="s">
        <v>270</v>
      </c>
      <c r="H99" s="21" t="s">
        <v>106</v>
      </c>
      <c r="I99" s="21">
        <v>55.0</v>
      </c>
      <c r="J99" s="25" t="s">
        <v>258</v>
      </c>
      <c r="K99" s="22"/>
      <c r="L99" s="21" t="s">
        <v>58</v>
      </c>
      <c r="M99" s="21">
        <v>2015.0</v>
      </c>
      <c r="N99" s="23" t="s">
        <v>31</v>
      </c>
      <c r="O99" s="24">
        <v>1300.0</v>
      </c>
      <c r="P99" s="21" t="s">
        <v>260</v>
      </c>
      <c r="Q99" s="21">
        <v>95.0</v>
      </c>
    </row>
    <row r="100" ht="15.75" customHeight="1">
      <c r="A100" s="21" t="s">
        <v>271</v>
      </c>
      <c r="B100" s="21" t="s">
        <v>18</v>
      </c>
      <c r="C100" s="21" t="s">
        <v>257</v>
      </c>
      <c r="D100" s="21" t="s">
        <v>257</v>
      </c>
      <c r="E100" s="21" t="s">
        <v>258</v>
      </c>
      <c r="F100" s="22"/>
      <c r="G100" s="21" t="s">
        <v>272</v>
      </c>
      <c r="H100" s="21" t="s">
        <v>106</v>
      </c>
      <c r="I100" s="21">
        <v>51.0</v>
      </c>
      <c r="J100" s="25" t="s">
        <v>258</v>
      </c>
      <c r="K100" s="22"/>
      <c r="L100" s="21" t="s">
        <v>58</v>
      </c>
      <c r="M100" s="21">
        <v>2018.0</v>
      </c>
      <c r="N100" s="23" t="s">
        <v>26</v>
      </c>
      <c r="O100" s="24">
        <v>1250.0</v>
      </c>
      <c r="P100" s="21" t="s">
        <v>273</v>
      </c>
      <c r="Q100" s="21">
        <v>120.0</v>
      </c>
    </row>
    <row r="101" ht="15.75" customHeight="1">
      <c r="A101" s="21" t="s">
        <v>274</v>
      </c>
      <c r="B101" s="21" t="s">
        <v>18</v>
      </c>
      <c r="C101" s="21" t="s">
        <v>257</v>
      </c>
      <c r="D101" s="21" t="s">
        <v>257</v>
      </c>
      <c r="E101" s="21" t="s">
        <v>258</v>
      </c>
      <c r="F101" s="22"/>
      <c r="G101" s="21" t="s">
        <v>275</v>
      </c>
      <c r="H101" s="21" t="s">
        <v>106</v>
      </c>
      <c r="I101" s="21">
        <v>43.0</v>
      </c>
      <c r="J101" s="25" t="s">
        <v>258</v>
      </c>
      <c r="K101" s="22"/>
      <c r="L101" s="21" t="s">
        <v>44</v>
      </c>
      <c r="M101" s="21">
        <v>2015.0</v>
      </c>
      <c r="N101" s="23" t="s">
        <v>26</v>
      </c>
      <c r="O101" s="24">
        <v>7500.0</v>
      </c>
      <c r="P101" s="21" t="s">
        <v>260</v>
      </c>
      <c r="Q101" s="21">
        <v>95.0</v>
      </c>
    </row>
    <row r="102" ht="15.75" customHeight="1">
      <c r="A102" s="21" t="s">
        <v>276</v>
      </c>
      <c r="B102" s="21" t="s">
        <v>18</v>
      </c>
      <c r="C102" s="21" t="s">
        <v>257</v>
      </c>
      <c r="D102" s="21" t="s">
        <v>257</v>
      </c>
      <c r="E102" s="21" t="s">
        <v>258</v>
      </c>
      <c r="F102" s="22"/>
      <c r="G102" s="21" t="s">
        <v>277</v>
      </c>
      <c r="H102" s="21" t="s">
        <v>106</v>
      </c>
      <c r="I102" s="21">
        <v>50.0</v>
      </c>
      <c r="J102" s="25" t="s">
        <v>258</v>
      </c>
      <c r="K102" s="22"/>
      <c r="L102" s="21" t="s">
        <v>25</v>
      </c>
      <c r="M102" s="21">
        <v>2015.0</v>
      </c>
      <c r="N102" s="23" t="s">
        <v>26</v>
      </c>
      <c r="O102" s="24">
        <v>700.0</v>
      </c>
      <c r="P102" s="21" t="s">
        <v>260</v>
      </c>
      <c r="Q102" s="21">
        <v>95.0</v>
      </c>
    </row>
    <row r="103" ht="15.75" customHeight="1">
      <c r="A103" s="21" t="s">
        <v>278</v>
      </c>
      <c r="B103" s="21" t="s">
        <v>18</v>
      </c>
      <c r="C103" s="21" t="s">
        <v>257</v>
      </c>
      <c r="D103" s="21" t="s">
        <v>257</v>
      </c>
      <c r="E103" s="21" t="s">
        <v>258</v>
      </c>
      <c r="F103" s="22"/>
      <c r="G103" s="21" t="s">
        <v>279</v>
      </c>
      <c r="H103" s="21" t="s">
        <v>106</v>
      </c>
      <c r="I103" s="21">
        <v>45.0</v>
      </c>
      <c r="J103" s="25" t="s">
        <v>258</v>
      </c>
      <c r="K103" s="22"/>
      <c r="L103" s="21" t="s">
        <v>25</v>
      </c>
      <c r="M103" s="21">
        <v>2011.0</v>
      </c>
      <c r="N103" s="23" t="s">
        <v>26</v>
      </c>
      <c r="O103" s="24">
        <v>1300.0</v>
      </c>
      <c r="P103" s="21" t="s">
        <v>35</v>
      </c>
      <c r="Q103" s="21">
        <v>120.0</v>
      </c>
    </row>
    <row r="104" ht="15.75" customHeight="1">
      <c r="A104" s="21" t="s">
        <v>280</v>
      </c>
      <c r="B104" s="21" t="s">
        <v>18</v>
      </c>
      <c r="C104" s="21" t="s">
        <v>257</v>
      </c>
      <c r="D104" s="21" t="s">
        <v>257</v>
      </c>
      <c r="E104" s="21" t="s">
        <v>258</v>
      </c>
      <c r="F104" s="22"/>
      <c r="G104" s="21" t="s">
        <v>259</v>
      </c>
      <c r="H104" s="21" t="s">
        <v>106</v>
      </c>
      <c r="I104" s="21">
        <v>70.0</v>
      </c>
      <c r="J104" s="25" t="s">
        <v>258</v>
      </c>
      <c r="K104" s="22"/>
      <c r="L104" s="21" t="s">
        <v>58</v>
      </c>
      <c r="M104" s="21">
        <v>1999.0</v>
      </c>
      <c r="N104" s="23" t="s">
        <v>26</v>
      </c>
      <c r="O104" s="24">
        <v>7500.0</v>
      </c>
      <c r="P104" s="21" t="s">
        <v>260</v>
      </c>
      <c r="Q104" s="21">
        <v>95.0</v>
      </c>
    </row>
    <row r="105" ht="15.75" customHeight="1">
      <c r="A105" s="21" t="s">
        <v>281</v>
      </c>
      <c r="B105" s="21" t="s">
        <v>18</v>
      </c>
      <c r="C105" s="21" t="s">
        <v>257</v>
      </c>
      <c r="D105" s="21" t="s">
        <v>257</v>
      </c>
      <c r="E105" s="21" t="s">
        <v>258</v>
      </c>
      <c r="F105" s="22"/>
      <c r="G105" s="21" t="s">
        <v>262</v>
      </c>
      <c r="H105" s="21" t="s">
        <v>106</v>
      </c>
      <c r="I105" s="21">
        <v>60.0</v>
      </c>
      <c r="J105" s="25" t="s">
        <v>258</v>
      </c>
      <c r="K105" s="22"/>
      <c r="L105" s="21" t="s">
        <v>38</v>
      </c>
      <c r="M105" s="21">
        <v>1995.0</v>
      </c>
      <c r="N105" s="23" t="s">
        <v>26</v>
      </c>
      <c r="O105" s="24">
        <v>8432.0</v>
      </c>
      <c r="P105" s="21" t="s">
        <v>260</v>
      </c>
      <c r="Q105" s="21">
        <v>95.0</v>
      </c>
    </row>
    <row r="106" ht="15.75" customHeight="1">
      <c r="A106" s="21" t="s">
        <v>282</v>
      </c>
      <c r="B106" s="21" t="s">
        <v>18</v>
      </c>
      <c r="C106" s="21" t="s">
        <v>257</v>
      </c>
      <c r="D106" s="21" t="s">
        <v>283</v>
      </c>
      <c r="E106" s="21" t="s">
        <v>284</v>
      </c>
      <c r="F106" s="22"/>
      <c r="G106" s="21" t="s">
        <v>191</v>
      </c>
      <c r="H106" s="21" t="s">
        <v>106</v>
      </c>
      <c r="I106" s="21">
        <v>55.0</v>
      </c>
      <c r="J106" s="21" t="s">
        <v>285</v>
      </c>
      <c r="K106" s="22"/>
      <c r="L106" s="21" t="s">
        <v>44</v>
      </c>
      <c r="M106" s="21">
        <v>2005.0</v>
      </c>
      <c r="N106" s="23" t="s">
        <v>171</v>
      </c>
      <c r="O106" s="24">
        <v>7800.0</v>
      </c>
      <c r="P106" s="21" t="s">
        <v>286</v>
      </c>
      <c r="Q106" s="21">
        <v>105.0</v>
      </c>
    </row>
    <row r="107" ht="15.75" customHeight="1">
      <c r="A107" s="21" t="s">
        <v>287</v>
      </c>
      <c r="B107" s="21" t="s">
        <v>18</v>
      </c>
      <c r="C107" s="21" t="s">
        <v>257</v>
      </c>
      <c r="D107" s="21" t="s">
        <v>283</v>
      </c>
      <c r="E107" s="21" t="s">
        <v>284</v>
      </c>
      <c r="F107" s="22"/>
      <c r="G107" s="21" t="s">
        <v>288</v>
      </c>
      <c r="H107" s="21" t="s">
        <v>23</v>
      </c>
      <c r="I107" s="21">
        <v>51.0</v>
      </c>
      <c r="J107" s="21" t="s">
        <v>285</v>
      </c>
      <c r="K107" s="22"/>
      <c r="L107" s="21" t="s">
        <v>44</v>
      </c>
      <c r="M107" s="21">
        <v>2005.0</v>
      </c>
      <c r="N107" s="23" t="s">
        <v>171</v>
      </c>
      <c r="O107" s="24">
        <v>3124.0</v>
      </c>
      <c r="P107" s="21" t="s">
        <v>286</v>
      </c>
      <c r="Q107" s="21">
        <v>105.0</v>
      </c>
    </row>
    <row r="108" ht="15.75" customHeight="1">
      <c r="A108" s="21" t="s">
        <v>289</v>
      </c>
      <c r="B108" s="21" t="s">
        <v>18</v>
      </c>
      <c r="C108" s="21" t="s">
        <v>257</v>
      </c>
      <c r="D108" s="21" t="s">
        <v>283</v>
      </c>
      <c r="E108" s="21" t="s">
        <v>284</v>
      </c>
      <c r="F108" s="22"/>
      <c r="G108" s="21" t="s">
        <v>290</v>
      </c>
      <c r="H108" s="21" t="s">
        <v>106</v>
      </c>
      <c r="I108" s="21">
        <v>51.0</v>
      </c>
      <c r="J108" s="21" t="s">
        <v>285</v>
      </c>
      <c r="K108" s="22"/>
      <c r="L108" s="21" t="s">
        <v>44</v>
      </c>
      <c r="M108" s="21">
        <v>2002.0</v>
      </c>
      <c r="N108" s="23" t="s">
        <v>31</v>
      </c>
      <c r="O108" s="24">
        <v>4212.0</v>
      </c>
      <c r="P108" s="21" t="s">
        <v>286</v>
      </c>
      <c r="Q108" s="21">
        <v>105.0</v>
      </c>
    </row>
    <row r="109" ht="15.75" customHeight="1">
      <c r="A109" s="21" t="s">
        <v>291</v>
      </c>
      <c r="B109" s="21" t="s">
        <v>18</v>
      </c>
      <c r="C109" s="21" t="s">
        <v>257</v>
      </c>
      <c r="D109" s="21" t="s">
        <v>283</v>
      </c>
      <c r="E109" s="21" t="s">
        <v>284</v>
      </c>
      <c r="F109" s="22"/>
      <c r="G109" s="21" t="s">
        <v>292</v>
      </c>
      <c r="H109" s="21" t="s">
        <v>106</v>
      </c>
      <c r="I109" s="21">
        <v>50.0</v>
      </c>
      <c r="J109" s="21" t="s">
        <v>285</v>
      </c>
      <c r="K109" s="22"/>
      <c r="L109" s="21" t="s">
        <v>58</v>
      </c>
      <c r="M109" s="21">
        <v>2002.0</v>
      </c>
      <c r="N109" s="23" t="s">
        <v>31</v>
      </c>
      <c r="O109" s="24">
        <v>5616.0</v>
      </c>
      <c r="P109" s="21" t="s">
        <v>286</v>
      </c>
      <c r="Q109" s="21">
        <v>105.0</v>
      </c>
    </row>
    <row r="110" ht="15.75" customHeight="1">
      <c r="A110" s="21" t="s">
        <v>293</v>
      </c>
      <c r="B110" s="21" t="s">
        <v>18</v>
      </c>
      <c r="C110" s="21" t="s">
        <v>257</v>
      </c>
      <c r="D110" s="21" t="s">
        <v>283</v>
      </c>
      <c r="E110" s="21" t="s">
        <v>284</v>
      </c>
      <c r="F110" s="22"/>
      <c r="G110" s="21" t="s">
        <v>294</v>
      </c>
      <c r="H110" s="21" t="s">
        <v>106</v>
      </c>
      <c r="I110" s="21">
        <v>39.0</v>
      </c>
      <c r="J110" s="21" t="s">
        <v>285</v>
      </c>
      <c r="K110" s="22"/>
      <c r="L110" s="21" t="s">
        <v>58</v>
      </c>
      <c r="M110" s="21">
        <v>2015.0</v>
      </c>
      <c r="N110" s="23" t="s">
        <v>31</v>
      </c>
      <c r="O110" s="24">
        <v>7488.0</v>
      </c>
      <c r="P110" s="21" t="s">
        <v>286</v>
      </c>
      <c r="Q110" s="21">
        <v>105.0</v>
      </c>
    </row>
    <row r="111" ht="15.75" customHeight="1">
      <c r="A111" s="21" t="s">
        <v>295</v>
      </c>
      <c r="B111" s="21" t="s">
        <v>18</v>
      </c>
      <c r="C111" s="21" t="s">
        <v>257</v>
      </c>
      <c r="D111" s="21" t="s">
        <v>283</v>
      </c>
      <c r="E111" s="21" t="s">
        <v>284</v>
      </c>
      <c r="F111" s="22"/>
      <c r="G111" s="21" t="s">
        <v>296</v>
      </c>
      <c r="H111" s="21" t="s">
        <v>106</v>
      </c>
      <c r="I111" s="21">
        <v>62.0</v>
      </c>
      <c r="J111" s="21" t="s">
        <v>285</v>
      </c>
      <c r="K111" s="22"/>
      <c r="L111" s="21" t="s">
        <v>30</v>
      </c>
      <c r="M111" s="21">
        <v>2000.0</v>
      </c>
      <c r="N111" s="23" t="s">
        <v>171</v>
      </c>
      <c r="O111" s="24">
        <v>9360.0</v>
      </c>
      <c r="P111" s="21" t="s">
        <v>260</v>
      </c>
      <c r="Q111" s="21">
        <v>95.0</v>
      </c>
    </row>
    <row r="112" ht="15.75" customHeight="1">
      <c r="A112" s="21" t="s">
        <v>297</v>
      </c>
      <c r="B112" s="21" t="s">
        <v>18</v>
      </c>
      <c r="C112" s="21" t="s">
        <v>257</v>
      </c>
      <c r="D112" s="21" t="s">
        <v>283</v>
      </c>
      <c r="E112" s="21" t="s">
        <v>284</v>
      </c>
      <c r="F112" s="22"/>
      <c r="G112" s="21" t="s">
        <v>298</v>
      </c>
      <c r="H112" s="21" t="s">
        <v>106</v>
      </c>
      <c r="I112" s="21">
        <v>65.0</v>
      </c>
      <c r="J112" s="21" t="s">
        <v>285</v>
      </c>
      <c r="K112" s="22"/>
      <c r="L112" s="21" t="s">
        <v>58</v>
      </c>
      <c r="M112" s="21">
        <v>1998.0</v>
      </c>
      <c r="N112" s="23" t="s">
        <v>31</v>
      </c>
      <c r="O112" s="24">
        <v>4680.0</v>
      </c>
      <c r="P112" s="21" t="s">
        <v>35</v>
      </c>
      <c r="Q112" s="21">
        <v>120.0</v>
      </c>
    </row>
    <row r="113" ht="15.75" customHeight="1">
      <c r="A113" s="21" t="s">
        <v>299</v>
      </c>
      <c r="B113" s="21" t="s">
        <v>18</v>
      </c>
      <c r="C113" s="21" t="s">
        <v>257</v>
      </c>
      <c r="D113" s="21" t="s">
        <v>283</v>
      </c>
      <c r="E113" s="21" t="s">
        <v>284</v>
      </c>
      <c r="F113" s="22"/>
      <c r="G113" s="21" t="s">
        <v>300</v>
      </c>
      <c r="H113" s="21" t="s">
        <v>106</v>
      </c>
      <c r="I113" s="21">
        <v>67.0</v>
      </c>
      <c r="J113" s="21" t="s">
        <v>285</v>
      </c>
      <c r="K113" s="22"/>
      <c r="L113" s="21" t="s">
        <v>58</v>
      </c>
      <c r="M113" s="21">
        <v>1990.0</v>
      </c>
      <c r="N113" s="23" t="s">
        <v>171</v>
      </c>
      <c r="O113" s="24">
        <v>9360.0</v>
      </c>
      <c r="P113" s="21" t="s">
        <v>286</v>
      </c>
      <c r="Q113" s="21">
        <v>105.0</v>
      </c>
    </row>
    <row r="114" ht="15.75" customHeight="1">
      <c r="A114" s="21" t="s">
        <v>301</v>
      </c>
      <c r="B114" s="21" t="s">
        <v>18</v>
      </c>
      <c r="C114" s="21" t="s">
        <v>257</v>
      </c>
      <c r="D114" s="21" t="s">
        <v>283</v>
      </c>
      <c r="E114" s="21" t="s">
        <v>284</v>
      </c>
      <c r="F114" s="22"/>
      <c r="G114" s="21" t="s">
        <v>302</v>
      </c>
      <c r="H114" s="21" t="s">
        <v>23</v>
      </c>
      <c r="I114" s="21">
        <v>55.0</v>
      </c>
      <c r="J114" s="21" t="s">
        <v>285</v>
      </c>
      <c r="K114" s="22"/>
      <c r="L114" s="21" t="s">
        <v>44</v>
      </c>
      <c r="M114" s="21">
        <v>2007.0</v>
      </c>
      <c r="N114" s="23" t="s">
        <v>31</v>
      </c>
      <c r="O114" s="24">
        <v>9984.0</v>
      </c>
      <c r="P114" s="21" t="s">
        <v>35</v>
      </c>
      <c r="Q114" s="21">
        <v>120.0</v>
      </c>
    </row>
    <row r="115" ht="15.75" customHeight="1">
      <c r="A115" s="21" t="s">
        <v>303</v>
      </c>
      <c r="B115" s="21" t="s">
        <v>18</v>
      </c>
      <c r="C115" s="21" t="s">
        <v>257</v>
      </c>
      <c r="D115" s="21" t="s">
        <v>283</v>
      </c>
      <c r="E115" s="21" t="s">
        <v>284</v>
      </c>
      <c r="F115" s="22"/>
      <c r="G115" s="21" t="s">
        <v>304</v>
      </c>
      <c r="H115" s="21" t="s">
        <v>23</v>
      </c>
      <c r="I115" s="21">
        <v>40.0</v>
      </c>
      <c r="J115" s="21" t="s">
        <v>285</v>
      </c>
      <c r="K115" s="22"/>
      <c r="L115" s="21" t="s">
        <v>58</v>
      </c>
      <c r="M115" s="21">
        <v>2010.0</v>
      </c>
      <c r="N115" s="23" t="s">
        <v>26</v>
      </c>
      <c r="O115" s="24">
        <v>6240.0</v>
      </c>
      <c r="P115" s="21" t="s">
        <v>286</v>
      </c>
      <c r="Q115" s="21">
        <v>105.0</v>
      </c>
    </row>
    <row r="116" ht="15.75" customHeight="1">
      <c r="A116" s="21" t="s">
        <v>305</v>
      </c>
      <c r="B116" s="21" t="s">
        <v>18</v>
      </c>
      <c r="C116" s="21" t="s">
        <v>257</v>
      </c>
      <c r="D116" s="21" t="s">
        <v>283</v>
      </c>
      <c r="E116" s="21" t="s">
        <v>306</v>
      </c>
      <c r="F116" s="22"/>
      <c r="G116" s="21" t="s">
        <v>307</v>
      </c>
      <c r="H116" s="21" t="s">
        <v>23</v>
      </c>
      <c r="I116" s="21">
        <v>58.0</v>
      </c>
      <c r="J116" s="21" t="s">
        <v>308</v>
      </c>
      <c r="K116" s="22"/>
      <c r="L116" s="21" t="s">
        <v>44</v>
      </c>
      <c r="M116" s="21">
        <v>1996.0</v>
      </c>
      <c r="N116" s="23" t="s">
        <v>31</v>
      </c>
      <c r="O116" s="24">
        <v>1248.0</v>
      </c>
      <c r="P116" s="21" t="s">
        <v>39</v>
      </c>
      <c r="Q116" s="21">
        <v>125.0</v>
      </c>
    </row>
    <row r="117" ht="15.75" customHeight="1">
      <c r="A117" s="21" t="s">
        <v>309</v>
      </c>
      <c r="B117" s="21" t="s">
        <v>18</v>
      </c>
      <c r="C117" s="21" t="s">
        <v>257</v>
      </c>
      <c r="D117" s="21" t="s">
        <v>283</v>
      </c>
      <c r="E117" s="21" t="s">
        <v>306</v>
      </c>
      <c r="F117" s="22"/>
      <c r="G117" s="21" t="s">
        <v>120</v>
      </c>
      <c r="H117" s="21" t="s">
        <v>23</v>
      </c>
      <c r="I117" s="21">
        <v>70.0</v>
      </c>
      <c r="J117" s="21" t="s">
        <v>308</v>
      </c>
      <c r="K117" s="22"/>
      <c r="L117" s="21" t="s">
        <v>38</v>
      </c>
      <c r="M117" s="21">
        <v>1985.0</v>
      </c>
      <c r="N117" s="23" t="s">
        <v>31</v>
      </c>
      <c r="O117" s="24">
        <v>2964.0</v>
      </c>
      <c r="P117" s="21" t="s">
        <v>47</v>
      </c>
      <c r="Q117" s="21">
        <v>87.0</v>
      </c>
    </row>
    <row r="118" ht="15.75" customHeight="1">
      <c r="A118" s="21" t="s">
        <v>310</v>
      </c>
      <c r="B118" s="21" t="s">
        <v>18</v>
      </c>
      <c r="C118" s="21" t="s">
        <v>257</v>
      </c>
      <c r="D118" s="21" t="s">
        <v>283</v>
      </c>
      <c r="E118" s="21" t="s">
        <v>306</v>
      </c>
      <c r="F118" s="22"/>
      <c r="G118" s="21" t="s">
        <v>311</v>
      </c>
      <c r="H118" s="21" t="s">
        <v>23</v>
      </c>
      <c r="I118" s="21">
        <v>70.0</v>
      </c>
      <c r="J118" s="21" t="s">
        <v>308</v>
      </c>
      <c r="K118" s="22"/>
      <c r="L118" s="21" t="s">
        <v>58</v>
      </c>
      <c r="M118" s="21">
        <v>1985.0</v>
      </c>
      <c r="N118" s="23" t="s">
        <v>31</v>
      </c>
      <c r="O118" s="24">
        <v>3120.0</v>
      </c>
      <c r="P118" s="21" t="s">
        <v>39</v>
      </c>
      <c r="Q118" s="21">
        <v>125.0</v>
      </c>
    </row>
    <row r="119" ht="15.75" customHeight="1">
      <c r="A119" s="21" t="s">
        <v>312</v>
      </c>
      <c r="B119" s="21" t="s">
        <v>18</v>
      </c>
      <c r="C119" s="21" t="s">
        <v>257</v>
      </c>
      <c r="D119" s="21" t="s">
        <v>283</v>
      </c>
      <c r="E119" s="21" t="s">
        <v>306</v>
      </c>
      <c r="F119" s="22"/>
      <c r="G119" s="21" t="s">
        <v>313</v>
      </c>
      <c r="H119" s="21" t="s">
        <v>23</v>
      </c>
      <c r="I119" s="21">
        <v>44.0</v>
      </c>
      <c r="J119" s="21" t="s">
        <v>308</v>
      </c>
      <c r="K119" s="22"/>
      <c r="L119" s="21" t="s">
        <v>25</v>
      </c>
      <c r="M119" s="21">
        <v>2009.0</v>
      </c>
      <c r="N119" s="23" t="s">
        <v>31</v>
      </c>
      <c r="O119" s="24">
        <v>1404.0</v>
      </c>
      <c r="P119" s="21" t="s">
        <v>286</v>
      </c>
      <c r="Q119" s="21">
        <v>60.0</v>
      </c>
    </row>
    <row r="120" ht="15.75" customHeight="1">
      <c r="A120" s="21" t="s">
        <v>314</v>
      </c>
      <c r="B120" s="21" t="s">
        <v>18</v>
      </c>
      <c r="C120" s="21" t="s">
        <v>257</v>
      </c>
      <c r="D120" s="21" t="s">
        <v>283</v>
      </c>
      <c r="E120" s="21" t="s">
        <v>306</v>
      </c>
      <c r="F120" s="22"/>
      <c r="G120" s="21" t="s">
        <v>315</v>
      </c>
      <c r="H120" s="21" t="s">
        <v>106</v>
      </c>
      <c r="I120" s="21">
        <v>38.0</v>
      </c>
      <c r="J120" s="21" t="s">
        <v>308</v>
      </c>
      <c r="K120" s="22"/>
      <c r="L120" s="21" t="s">
        <v>44</v>
      </c>
      <c r="M120" s="21">
        <v>2015.0</v>
      </c>
      <c r="N120" s="23" t="s">
        <v>31</v>
      </c>
      <c r="O120" s="24">
        <v>2500.0</v>
      </c>
      <c r="P120" s="21" t="s">
        <v>47</v>
      </c>
      <c r="Q120" s="21">
        <v>87.0</v>
      </c>
    </row>
    <row r="121" ht="15.75" customHeight="1">
      <c r="A121" s="21" t="s">
        <v>316</v>
      </c>
      <c r="B121" s="21" t="s">
        <v>18</v>
      </c>
      <c r="C121" s="21" t="s">
        <v>257</v>
      </c>
      <c r="D121" s="21" t="s">
        <v>283</v>
      </c>
      <c r="E121" s="21" t="s">
        <v>306</v>
      </c>
      <c r="F121" s="22"/>
      <c r="G121" s="21" t="s">
        <v>317</v>
      </c>
      <c r="H121" s="21" t="s">
        <v>106</v>
      </c>
      <c r="I121" s="21">
        <v>44.0</v>
      </c>
      <c r="J121" s="25" t="s">
        <v>308</v>
      </c>
      <c r="K121" s="22"/>
      <c r="L121" s="21" t="s">
        <v>44</v>
      </c>
      <c r="M121" s="21">
        <v>2009.0</v>
      </c>
      <c r="N121" s="23" t="s">
        <v>171</v>
      </c>
      <c r="O121" s="24">
        <v>3748.0</v>
      </c>
      <c r="P121" s="21" t="s">
        <v>286</v>
      </c>
      <c r="Q121" s="21">
        <v>60.0</v>
      </c>
    </row>
    <row r="122" ht="15.75" customHeight="1">
      <c r="A122" s="21" t="s">
        <v>318</v>
      </c>
      <c r="B122" s="21" t="s">
        <v>18</v>
      </c>
      <c r="C122" s="21" t="s">
        <v>257</v>
      </c>
      <c r="D122" s="21" t="s">
        <v>283</v>
      </c>
      <c r="E122" s="21" t="s">
        <v>306</v>
      </c>
      <c r="F122" s="22"/>
      <c r="G122" s="21" t="s">
        <v>319</v>
      </c>
      <c r="H122" s="21" t="s">
        <v>106</v>
      </c>
      <c r="I122" s="21">
        <v>51.0</v>
      </c>
      <c r="J122" s="25" t="s">
        <v>308</v>
      </c>
      <c r="K122" s="22"/>
      <c r="L122" s="21" t="s">
        <v>25</v>
      </c>
      <c r="M122" s="21">
        <v>2005.0</v>
      </c>
      <c r="N122" s="23" t="s">
        <v>171</v>
      </c>
      <c r="O122" s="24">
        <v>5625.0</v>
      </c>
      <c r="P122" s="21" t="s">
        <v>320</v>
      </c>
      <c r="Q122" s="21">
        <v>90.0</v>
      </c>
    </row>
    <row r="123" ht="15.75" customHeight="1">
      <c r="A123" s="21" t="s">
        <v>321</v>
      </c>
      <c r="B123" s="21" t="s">
        <v>18</v>
      </c>
      <c r="C123" s="21" t="s">
        <v>257</v>
      </c>
      <c r="D123" s="21" t="s">
        <v>283</v>
      </c>
      <c r="E123" s="21" t="s">
        <v>306</v>
      </c>
      <c r="F123" s="22"/>
      <c r="G123" s="21" t="s">
        <v>322</v>
      </c>
      <c r="H123" s="21" t="s">
        <v>23</v>
      </c>
      <c r="I123" s="21">
        <v>55.0</v>
      </c>
      <c r="J123" s="25" t="s">
        <v>308</v>
      </c>
      <c r="K123" s="22"/>
      <c r="L123" s="21" t="s">
        <v>58</v>
      </c>
      <c r="M123" s="21">
        <v>2000.0</v>
      </c>
      <c r="N123" s="23" t="s">
        <v>31</v>
      </c>
      <c r="O123" s="24">
        <v>3744.0</v>
      </c>
      <c r="P123" s="21" t="s">
        <v>286</v>
      </c>
      <c r="Q123" s="21">
        <v>60.0</v>
      </c>
    </row>
    <row r="124" ht="15.75" customHeight="1">
      <c r="A124" s="21" t="s">
        <v>323</v>
      </c>
      <c r="B124" s="21" t="s">
        <v>18</v>
      </c>
      <c r="C124" s="21" t="s">
        <v>257</v>
      </c>
      <c r="D124" s="21" t="s">
        <v>283</v>
      </c>
      <c r="E124" s="21" t="s">
        <v>306</v>
      </c>
      <c r="F124" s="22"/>
      <c r="G124" s="21" t="s">
        <v>324</v>
      </c>
      <c r="H124" s="21" t="s">
        <v>23</v>
      </c>
      <c r="I124" s="21">
        <v>44.0</v>
      </c>
      <c r="J124" s="25" t="s">
        <v>308</v>
      </c>
      <c r="K124" s="22"/>
      <c r="L124" s="21" t="s">
        <v>58</v>
      </c>
      <c r="M124" s="21">
        <v>2011.0</v>
      </c>
      <c r="N124" s="23" t="s">
        <v>31</v>
      </c>
      <c r="O124" s="24">
        <v>1560.0</v>
      </c>
      <c r="P124" s="21" t="s">
        <v>286</v>
      </c>
      <c r="Q124" s="21">
        <v>60.0</v>
      </c>
    </row>
    <row r="125" ht="15.75" customHeight="1">
      <c r="A125" s="21" t="s">
        <v>325</v>
      </c>
      <c r="B125" s="21" t="s">
        <v>18</v>
      </c>
      <c r="C125" s="21" t="s">
        <v>257</v>
      </c>
      <c r="D125" s="21" t="s">
        <v>283</v>
      </c>
      <c r="E125" s="21" t="s">
        <v>306</v>
      </c>
      <c r="F125" s="22"/>
      <c r="G125" s="21" t="s">
        <v>326</v>
      </c>
      <c r="H125" s="21" t="s">
        <v>106</v>
      </c>
      <c r="I125" s="21">
        <v>58.0</v>
      </c>
      <c r="J125" s="25" t="s">
        <v>308</v>
      </c>
      <c r="K125" s="22"/>
      <c r="L125" s="21" t="s">
        <v>58</v>
      </c>
      <c r="M125" s="21">
        <v>2002.0</v>
      </c>
      <c r="N125" s="23" t="s">
        <v>31</v>
      </c>
      <c r="O125" s="24">
        <v>2500.0</v>
      </c>
      <c r="P125" s="21" t="s">
        <v>286</v>
      </c>
      <c r="Q125" s="21">
        <v>60.0</v>
      </c>
    </row>
    <row r="126" ht="15.75" customHeight="1">
      <c r="A126" s="26" t="s">
        <v>327</v>
      </c>
      <c r="B126" s="26" t="s">
        <v>18</v>
      </c>
      <c r="C126" s="26" t="s">
        <v>328</v>
      </c>
      <c r="D126" s="26" t="s">
        <v>329</v>
      </c>
      <c r="E126" s="26" t="s">
        <v>330</v>
      </c>
      <c r="F126" s="26" t="s">
        <v>137</v>
      </c>
      <c r="G126" s="26" t="s">
        <v>331</v>
      </c>
      <c r="H126" s="26" t="s">
        <v>106</v>
      </c>
      <c r="I126" s="26">
        <v>43.0</v>
      </c>
      <c r="J126" s="26" t="s">
        <v>332</v>
      </c>
      <c r="K126" s="26"/>
      <c r="L126" s="26" t="s">
        <v>58</v>
      </c>
      <c r="M126" s="26">
        <v>2005.0</v>
      </c>
      <c r="N126" s="27" t="s">
        <v>26</v>
      </c>
      <c r="O126" s="28">
        <v>2500.0</v>
      </c>
      <c r="P126" s="26" t="s">
        <v>333</v>
      </c>
      <c r="Q126" s="26">
        <v>125.0</v>
      </c>
    </row>
    <row r="127" ht="15.75" customHeight="1">
      <c r="A127" s="26" t="s">
        <v>334</v>
      </c>
      <c r="B127" s="26" t="s">
        <v>18</v>
      </c>
      <c r="C127" s="26" t="s">
        <v>328</v>
      </c>
      <c r="D127" s="26" t="s">
        <v>329</v>
      </c>
      <c r="E127" s="26" t="s">
        <v>330</v>
      </c>
      <c r="F127" s="26" t="s">
        <v>137</v>
      </c>
      <c r="G127" s="26" t="s">
        <v>335</v>
      </c>
      <c r="H127" s="26" t="s">
        <v>106</v>
      </c>
      <c r="I127" s="26">
        <v>56.0</v>
      </c>
      <c r="J127" s="26" t="s">
        <v>332</v>
      </c>
      <c r="K127" s="26"/>
      <c r="L127" s="26" t="s">
        <v>58</v>
      </c>
      <c r="M127" s="26">
        <v>2000.0</v>
      </c>
      <c r="N127" s="27" t="s">
        <v>26</v>
      </c>
      <c r="O127" s="28">
        <v>6000.0</v>
      </c>
      <c r="P127" s="26" t="s">
        <v>333</v>
      </c>
      <c r="Q127" s="26">
        <v>125.0</v>
      </c>
    </row>
    <row r="128" ht="15.75" customHeight="1">
      <c r="A128" s="26" t="s">
        <v>336</v>
      </c>
      <c r="B128" s="26" t="s">
        <v>18</v>
      </c>
      <c r="C128" s="26" t="s">
        <v>328</v>
      </c>
      <c r="D128" s="26" t="s">
        <v>329</v>
      </c>
      <c r="E128" s="26" t="s">
        <v>330</v>
      </c>
      <c r="F128" s="26" t="s">
        <v>137</v>
      </c>
      <c r="G128" s="26" t="s">
        <v>337</v>
      </c>
      <c r="H128" s="26" t="s">
        <v>106</v>
      </c>
      <c r="I128" s="26">
        <v>45.0</v>
      </c>
      <c r="J128" s="26" t="s">
        <v>332</v>
      </c>
      <c r="K128" s="26"/>
      <c r="L128" s="26" t="s">
        <v>38</v>
      </c>
      <c r="M128" s="26">
        <v>2010.0</v>
      </c>
      <c r="N128" s="27" t="s">
        <v>26</v>
      </c>
      <c r="O128" s="28">
        <v>5000.0</v>
      </c>
      <c r="P128" s="26" t="s">
        <v>333</v>
      </c>
      <c r="Q128" s="26">
        <v>125.0</v>
      </c>
    </row>
    <row r="129" ht="15.75" customHeight="1">
      <c r="A129" s="26" t="s">
        <v>338</v>
      </c>
      <c r="B129" s="26" t="s">
        <v>18</v>
      </c>
      <c r="C129" s="26" t="s">
        <v>328</v>
      </c>
      <c r="D129" s="26" t="s">
        <v>329</v>
      </c>
      <c r="E129" s="26" t="s">
        <v>330</v>
      </c>
      <c r="F129" s="26" t="s">
        <v>137</v>
      </c>
      <c r="G129" s="26" t="s">
        <v>339</v>
      </c>
      <c r="H129" s="26" t="s">
        <v>106</v>
      </c>
      <c r="I129" s="26">
        <v>42.0</v>
      </c>
      <c r="J129" s="26" t="s">
        <v>332</v>
      </c>
      <c r="K129" s="26"/>
      <c r="L129" s="26" t="s">
        <v>44</v>
      </c>
      <c r="M129" s="26">
        <v>2010.0</v>
      </c>
      <c r="N129" s="27" t="s">
        <v>26</v>
      </c>
      <c r="O129" s="28">
        <v>5000.0</v>
      </c>
      <c r="P129" s="26" t="s">
        <v>333</v>
      </c>
      <c r="Q129" s="26">
        <v>125.0</v>
      </c>
    </row>
    <row r="130" ht="15.75" customHeight="1">
      <c r="A130" s="26" t="s">
        <v>340</v>
      </c>
      <c r="B130" s="26" t="s">
        <v>18</v>
      </c>
      <c r="C130" s="26" t="s">
        <v>328</v>
      </c>
      <c r="D130" s="26" t="s">
        <v>329</v>
      </c>
      <c r="E130" s="26" t="s">
        <v>330</v>
      </c>
      <c r="F130" s="26" t="s">
        <v>137</v>
      </c>
      <c r="G130" s="26" t="s">
        <v>341</v>
      </c>
      <c r="H130" s="26" t="s">
        <v>106</v>
      </c>
      <c r="I130" s="26">
        <v>40.0</v>
      </c>
      <c r="J130" s="26" t="s">
        <v>332</v>
      </c>
      <c r="K130" s="26"/>
      <c r="L130" s="26" t="s">
        <v>38</v>
      </c>
      <c r="M130" s="26">
        <v>2017.0</v>
      </c>
      <c r="N130" s="27" t="s">
        <v>26</v>
      </c>
      <c r="O130" s="28">
        <v>2000.0</v>
      </c>
      <c r="P130" s="26" t="s">
        <v>333</v>
      </c>
      <c r="Q130" s="26">
        <v>125.0</v>
      </c>
    </row>
    <row r="131">
      <c r="A131" s="26" t="s">
        <v>342</v>
      </c>
      <c r="B131" s="26" t="s">
        <v>18</v>
      </c>
      <c r="C131" s="26" t="s">
        <v>328</v>
      </c>
      <c r="D131" s="26" t="s">
        <v>329</v>
      </c>
      <c r="E131" s="26" t="s">
        <v>330</v>
      </c>
      <c r="F131" s="26" t="s">
        <v>137</v>
      </c>
      <c r="G131" s="26" t="s">
        <v>343</v>
      </c>
      <c r="H131" s="26" t="s">
        <v>106</v>
      </c>
      <c r="I131" s="26">
        <v>35.0</v>
      </c>
      <c r="J131" s="26" t="s">
        <v>332</v>
      </c>
      <c r="K131" s="26"/>
      <c r="L131" s="26" t="s">
        <v>44</v>
      </c>
      <c r="M131" s="26">
        <v>2005.0</v>
      </c>
      <c r="N131" s="27" t="s">
        <v>26</v>
      </c>
      <c r="O131" s="28">
        <v>9000.0</v>
      </c>
      <c r="P131" s="26" t="s">
        <v>333</v>
      </c>
      <c r="Q131" s="26">
        <v>125.0</v>
      </c>
    </row>
    <row r="132" ht="15.75" customHeight="1">
      <c r="A132" s="26" t="s">
        <v>344</v>
      </c>
      <c r="B132" s="26" t="s">
        <v>18</v>
      </c>
      <c r="C132" s="26" t="s">
        <v>328</v>
      </c>
      <c r="D132" s="26" t="s">
        <v>329</v>
      </c>
      <c r="E132" s="26" t="s">
        <v>330</v>
      </c>
      <c r="F132" s="26" t="s">
        <v>137</v>
      </c>
      <c r="G132" s="26" t="s">
        <v>345</v>
      </c>
      <c r="H132" s="26" t="s">
        <v>23</v>
      </c>
      <c r="I132" s="26">
        <v>51.0</v>
      </c>
      <c r="J132" s="26" t="s">
        <v>332</v>
      </c>
      <c r="K132" s="26"/>
      <c r="L132" s="26" t="s">
        <v>58</v>
      </c>
      <c r="M132" s="26">
        <v>1999.0</v>
      </c>
      <c r="N132" s="27" t="s">
        <v>26</v>
      </c>
      <c r="O132" s="28">
        <v>3000.0</v>
      </c>
      <c r="P132" s="26" t="s">
        <v>333</v>
      </c>
      <c r="Q132" s="26">
        <v>125.0</v>
      </c>
    </row>
    <row r="133" ht="15.75" customHeight="1">
      <c r="A133" s="26" t="s">
        <v>346</v>
      </c>
      <c r="B133" s="26" t="s">
        <v>18</v>
      </c>
      <c r="C133" s="26" t="s">
        <v>328</v>
      </c>
      <c r="D133" s="26" t="s">
        <v>329</v>
      </c>
      <c r="E133" s="26" t="s">
        <v>330</v>
      </c>
      <c r="F133" s="26" t="s">
        <v>137</v>
      </c>
      <c r="G133" s="26" t="s">
        <v>347</v>
      </c>
      <c r="H133" s="26" t="s">
        <v>106</v>
      </c>
      <c r="I133" s="26">
        <v>48.0</v>
      </c>
      <c r="J133" s="26" t="s">
        <v>332</v>
      </c>
      <c r="K133" s="26"/>
      <c r="L133" s="26" t="s">
        <v>38</v>
      </c>
      <c r="M133" s="26">
        <v>2012.0</v>
      </c>
      <c r="N133" s="27" t="s">
        <v>26</v>
      </c>
      <c r="O133" s="28">
        <v>3000.0</v>
      </c>
      <c r="P133" s="26" t="s">
        <v>333</v>
      </c>
      <c r="Q133" s="26">
        <v>125.0</v>
      </c>
    </row>
    <row r="134" ht="15.75" customHeight="1">
      <c r="A134" s="26" t="s">
        <v>348</v>
      </c>
      <c r="B134" s="26" t="s">
        <v>18</v>
      </c>
      <c r="C134" s="26" t="s">
        <v>328</v>
      </c>
      <c r="D134" s="26" t="s">
        <v>329</v>
      </c>
      <c r="E134" s="26" t="s">
        <v>330</v>
      </c>
      <c r="F134" s="26" t="s">
        <v>137</v>
      </c>
      <c r="G134" s="26" t="s">
        <v>191</v>
      </c>
      <c r="H134" s="26" t="s">
        <v>106</v>
      </c>
      <c r="I134" s="26">
        <v>51.0</v>
      </c>
      <c r="J134" s="26" t="s">
        <v>332</v>
      </c>
      <c r="K134" s="26"/>
      <c r="L134" s="26" t="s">
        <v>38</v>
      </c>
      <c r="M134" s="26">
        <v>1998.0</v>
      </c>
      <c r="N134" s="27" t="s">
        <v>26</v>
      </c>
      <c r="O134" s="28">
        <v>8700.0</v>
      </c>
      <c r="P134" s="26" t="s">
        <v>333</v>
      </c>
      <c r="Q134" s="26">
        <v>125.0</v>
      </c>
    </row>
    <row r="135" ht="15.75" customHeight="1">
      <c r="A135" s="26" t="s">
        <v>349</v>
      </c>
      <c r="B135" s="26" t="s">
        <v>18</v>
      </c>
      <c r="C135" s="26" t="s">
        <v>328</v>
      </c>
      <c r="D135" s="26" t="s">
        <v>329</v>
      </c>
      <c r="E135" s="26" t="s">
        <v>330</v>
      </c>
      <c r="F135" s="26" t="s">
        <v>137</v>
      </c>
      <c r="G135" s="26" t="s">
        <v>350</v>
      </c>
      <c r="H135" s="26" t="s">
        <v>106</v>
      </c>
      <c r="I135" s="26">
        <v>43.0</v>
      </c>
      <c r="J135" s="26" t="s">
        <v>332</v>
      </c>
      <c r="K135" s="26"/>
      <c r="L135" s="26" t="s">
        <v>38</v>
      </c>
      <c r="M135" s="26">
        <v>2005.0</v>
      </c>
      <c r="N135" s="27" t="s">
        <v>26</v>
      </c>
      <c r="O135" s="28">
        <v>2500.0</v>
      </c>
      <c r="P135" s="26" t="s">
        <v>333</v>
      </c>
      <c r="Q135" s="26">
        <v>125.0</v>
      </c>
    </row>
    <row r="136" ht="15.75" customHeight="1">
      <c r="A136" s="26" t="s">
        <v>351</v>
      </c>
      <c r="B136" s="26" t="s">
        <v>18</v>
      </c>
      <c r="C136" s="26" t="s">
        <v>328</v>
      </c>
      <c r="D136" s="26" t="s">
        <v>329</v>
      </c>
      <c r="E136" s="26" t="s">
        <v>330</v>
      </c>
      <c r="F136" s="26" t="s">
        <v>137</v>
      </c>
      <c r="G136" s="26" t="s">
        <v>352</v>
      </c>
      <c r="H136" s="26" t="s">
        <v>106</v>
      </c>
      <c r="I136" s="26">
        <v>48.0</v>
      </c>
      <c r="J136" s="26" t="s">
        <v>332</v>
      </c>
      <c r="K136" s="26"/>
      <c r="L136" s="26" t="s">
        <v>44</v>
      </c>
      <c r="M136" s="26">
        <v>2005.0</v>
      </c>
      <c r="N136" s="27" t="s">
        <v>26</v>
      </c>
      <c r="O136" s="28">
        <v>3200.0</v>
      </c>
      <c r="P136" s="26" t="s">
        <v>35</v>
      </c>
      <c r="Q136" s="26">
        <v>120.0</v>
      </c>
    </row>
    <row r="137" ht="15.75" customHeight="1">
      <c r="A137" s="26" t="s">
        <v>353</v>
      </c>
      <c r="B137" s="26" t="s">
        <v>18</v>
      </c>
      <c r="C137" s="26" t="s">
        <v>328</v>
      </c>
      <c r="D137" s="26" t="s">
        <v>329</v>
      </c>
      <c r="E137" s="26" t="s">
        <v>354</v>
      </c>
      <c r="F137" s="29"/>
      <c r="G137" s="26" t="s">
        <v>355</v>
      </c>
      <c r="H137" s="26" t="s">
        <v>106</v>
      </c>
      <c r="I137" s="26">
        <v>35.0</v>
      </c>
      <c r="J137" s="26" t="s">
        <v>356</v>
      </c>
      <c r="K137" s="26"/>
      <c r="L137" s="26" t="s">
        <v>44</v>
      </c>
      <c r="M137" s="26">
        <v>2015.0</v>
      </c>
      <c r="N137" s="27" t="s">
        <v>26</v>
      </c>
      <c r="O137" s="28">
        <v>3200.0</v>
      </c>
      <c r="P137" s="26" t="s">
        <v>35</v>
      </c>
      <c r="Q137" s="26">
        <v>120.0</v>
      </c>
    </row>
    <row r="138" ht="15.75" customHeight="1">
      <c r="A138" s="26" t="s">
        <v>357</v>
      </c>
      <c r="B138" s="26" t="s">
        <v>18</v>
      </c>
      <c r="C138" s="26" t="s">
        <v>328</v>
      </c>
      <c r="D138" s="26" t="s">
        <v>329</v>
      </c>
      <c r="E138" s="26" t="s">
        <v>354</v>
      </c>
      <c r="F138" s="29"/>
      <c r="G138" s="26" t="s">
        <v>358</v>
      </c>
      <c r="H138" s="26" t="s">
        <v>23</v>
      </c>
      <c r="I138" s="26">
        <v>40.0</v>
      </c>
      <c r="J138" s="26" t="s">
        <v>356</v>
      </c>
      <c r="K138" s="26"/>
      <c r="L138" s="26" t="s">
        <v>44</v>
      </c>
      <c r="M138" s="26">
        <v>2015.0</v>
      </c>
      <c r="N138" s="27" t="s">
        <v>26</v>
      </c>
      <c r="O138" s="28">
        <v>2500.0</v>
      </c>
      <c r="P138" s="26" t="s">
        <v>35</v>
      </c>
      <c r="Q138" s="26">
        <v>120.0</v>
      </c>
    </row>
    <row r="139" ht="15.75" customHeight="1">
      <c r="A139" s="26" t="s">
        <v>359</v>
      </c>
      <c r="B139" s="26" t="s">
        <v>18</v>
      </c>
      <c r="C139" s="26" t="s">
        <v>328</v>
      </c>
      <c r="D139" s="26" t="s">
        <v>329</v>
      </c>
      <c r="E139" s="26" t="s">
        <v>354</v>
      </c>
      <c r="F139" s="29"/>
      <c r="G139" s="26" t="s">
        <v>360</v>
      </c>
      <c r="H139" s="26" t="s">
        <v>106</v>
      </c>
      <c r="I139" s="26">
        <v>40.0</v>
      </c>
      <c r="J139" s="26" t="s">
        <v>356</v>
      </c>
      <c r="K139" s="26"/>
      <c r="L139" s="26" t="s">
        <v>44</v>
      </c>
      <c r="M139" s="26">
        <v>2014.0</v>
      </c>
      <c r="N139" s="27" t="s">
        <v>26</v>
      </c>
      <c r="O139" s="28">
        <v>4600.0</v>
      </c>
      <c r="P139" s="26" t="s">
        <v>35</v>
      </c>
      <c r="Q139" s="26">
        <v>120.0</v>
      </c>
    </row>
    <row r="140" ht="15.75" customHeight="1">
      <c r="A140" s="26" t="s">
        <v>361</v>
      </c>
      <c r="B140" s="26" t="s">
        <v>18</v>
      </c>
      <c r="C140" s="26" t="s">
        <v>328</v>
      </c>
      <c r="D140" s="26" t="s">
        <v>329</v>
      </c>
      <c r="E140" s="26" t="s">
        <v>354</v>
      </c>
      <c r="F140" s="29"/>
      <c r="G140" s="26" t="s">
        <v>362</v>
      </c>
      <c r="H140" s="26" t="s">
        <v>106</v>
      </c>
      <c r="I140" s="26">
        <v>40.0</v>
      </c>
      <c r="J140" s="26" t="s">
        <v>356</v>
      </c>
      <c r="K140" s="26"/>
      <c r="L140" s="26" t="s">
        <v>25</v>
      </c>
      <c r="M140" s="26">
        <v>2006.0</v>
      </c>
      <c r="N140" s="27" t="s">
        <v>26</v>
      </c>
      <c r="O140" s="28">
        <v>5000.0</v>
      </c>
      <c r="P140" s="26" t="s">
        <v>35</v>
      </c>
      <c r="Q140" s="26">
        <v>120.0</v>
      </c>
    </row>
    <row r="141">
      <c r="A141" s="26" t="s">
        <v>363</v>
      </c>
      <c r="B141" s="26" t="s">
        <v>18</v>
      </c>
      <c r="C141" s="26" t="s">
        <v>328</v>
      </c>
      <c r="D141" s="26" t="s">
        <v>329</v>
      </c>
      <c r="E141" s="26" t="s">
        <v>354</v>
      </c>
      <c r="F141" s="29"/>
      <c r="G141" s="26" t="s">
        <v>364</v>
      </c>
      <c r="H141" s="26" t="s">
        <v>106</v>
      </c>
      <c r="I141" s="26">
        <v>45.0</v>
      </c>
      <c r="J141" s="26" t="s">
        <v>356</v>
      </c>
      <c r="K141" s="26"/>
      <c r="L141" s="26" t="s">
        <v>38</v>
      </c>
      <c r="M141" s="26">
        <v>2000.0</v>
      </c>
      <c r="N141" s="27" t="s">
        <v>26</v>
      </c>
      <c r="O141" s="28">
        <v>3200.0</v>
      </c>
      <c r="P141" s="26" t="s">
        <v>35</v>
      </c>
      <c r="Q141" s="26">
        <v>120.0</v>
      </c>
    </row>
    <row r="142">
      <c r="A142" s="26" t="s">
        <v>365</v>
      </c>
      <c r="B142" s="26" t="s">
        <v>18</v>
      </c>
      <c r="C142" s="26" t="s">
        <v>328</v>
      </c>
      <c r="D142" s="26" t="s">
        <v>329</v>
      </c>
      <c r="E142" s="26" t="s">
        <v>354</v>
      </c>
      <c r="F142" s="29"/>
      <c r="G142" s="26" t="s">
        <v>366</v>
      </c>
      <c r="H142" s="26" t="s">
        <v>106</v>
      </c>
      <c r="I142" s="26">
        <v>35.0</v>
      </c>
      <c r="J142" s="26" t="s">
        <v>356</v>
      </c>
      <c r="K142" s="26"/>
      <c r="L142" s="26" t="s">
        <v>44</v>
      </c>
      <c r="M142" s="26">
        <v>2020.0</v>
      </c>
      <c r="N142" s="27" t="s">
        <v>26</v>
      </c>
      <c r="O142" s="28">
        <v>3200.0</v>
      </c>
      <c r="P142" s="26" t="s">
        <v>35</v>
      </c>
      <c r="Q142" s="26">
        <v>120.0</v>
      </c>
    </row>
    <row r="143">
      <c r="A143" s="26" t="s">
        <v>367</v>
      </c>
      <c r="B143" s="26" t="s">
        <v>18</v>
      </c>
      <c r="C143" s="26" t="s">
        <v>328</v>
      </c>
      <c r="D143" s="26" t="s">
        <v>329</v>
      </c>
      <c r="E143" s="26" t="s">
        <v>354</v>
      </c>
      <c r="F143" s="29"/>
      <c r="G143" s="26" t="s">
        <v>368</v>
      </c>
      <c r="H143" s="26" t="s">
        <v>106</v>
      </c>
      <c r="I143" s="26">
        <v>37.0</v>
      </c>
      <c r="J143" s="26" t="s">
        <v>356</v>
      </c>
      <c r="K143" s="26"/>
      <c r="L143" s="26" t="s">
        <v>44</v>
      </c>
      <c r="M143" s="26">
        <v>2015.0</v>
      </c>
      <c r="N143" s="27" t="s">
        <v>26</v>
      </c>
      <c r="O143" s="28">
        <v>3000.0</v>
      </c>
      <c r="P143" s="26" t="s">
        <v>35</v>
      </c>
      <c r="Q143" s="26">
        <v>120.0</v>
      </c>
    </row>
    <row r="144">
      <c r="A144" s="26" t="s">
        <v>369</v>
      </c>
      <c r="B144" s="26" t="s">
        <v>18</v>
      </c>
      <c r="C144" s="26" t="s">
        <v>328</v>
      </c>
      <c r="D144" s="26" t="s">
        <v>329</v>
      </c>
      <c r="E144" s="26" t="s">
        <v>354</v>
      </c>
      <c r="F144" s="29"/>
      <c r="G144" s="26" t="s">
        <v>370</v>
      </c>
      <c r="H144" s="26" t="s">
        <v>106</v>
      </c>
      <c r="I144" s="26">
        <v>38.0</v>
      </c>
      <c r="J144" s="26" t="s">
        <v>356</v>
      </c>
      <c r="K144" s="26"/>
      <c r="L144" s="26" t="s">
        <v>25</v>
      </c>
      <c r="M144" s="26">
        <v>2008.0</v>
      </c>
      <c r="N144" s="27" t="s">
        <v>26</v>
      </c>
      <c r="O144" s="28">
        <v>3200.0</v>
      </c>
      <c r="P144" s="26" t="s">
        <v>35</v>
      </c>
      <c r="Q144" s="26">
        <v>120.0</v>
      </c>
    </row>
    <row r="145">
      <c r="A145" s="26" t="s">
        <v>371</v>
      </c>
      <c r="B145" s="26" t="s">
        <v>18</v>
      </c>
      <c r="C145" s="26" t="s">
        <v>328</v>
      </c>
      <c r="D145" s="26" t="s">
        <v>329</v>
      </c>
      <c r="E145" s="26" t="s">
        <v>354</v>
      </c>
      <c r="F145" s="29"/>
      <c r="G145" s="26" t="s">
        <v>372</v>
      </c>
      <c r="H145" s="26" t="s">
        <v>23</v>
      </c>
      <c r="I145" s="26">
        <v>50.0</v>
      </c>
      <c r="J145" s="26" t="s">
        <v>356</v>
      </c>
      <c r="K145" s="26"/>
      <c r="L145" s="26" t="s">
        <v>44</v>
      </c>
      <c r="M145" s="26">
        <v>2007.0</v>
      </c>
      <c r="N145" s="27" t="s">
        <v>26</v>
      </c>
      <c r="O145" s="28">
        <v>3000.0</v>
      </c>
      <c r="P145" s="26" t="s">
        <v>35</v>
      </c>
      <c r="Q145" s="26">
        <v>120.0</v>
      </c>
    </row>
    <row r="146">
      <c r="A146" s="30" t="s">
        <v>373</v>
      </c>
      <c r="B146" s="30" t="s">
        <v>18</v>
      </c>
      <c r="C146" s="30" t="s">
        <v>374</v>
      </c>
      <c r="D146" s="30" t="s">
        <v>375</v>
      </c>
      <c r="E146" s="30" t="s">
        <v>376</v>
      </c>
      <c r="F146" s="31"/>
      <c r="G146" s="30" t="s">
        <v>377</v>
      </c>
      <c r="H146" s="30" t="s">
        <v>23</v>
      </c>
      <c r="I146" s="30">
        <v>53.0</v>
      </c>
      <c r="J146" s="30" t="s">
        <v>378</v>
      </c>
      <c r="K146" s="31"/>
      <c r="L146" s="30" t="s">
        <v>44</v>
      </c>
      <c r="M146" s="30">
        <v>2015.0</v>
      </c>
      <c r="N146" s="32" t="s">
        <v>31</v>
      </c>
      <c r="O146" s="30">
        <v>1800.0</v>
      </c>
      <c r="P146" s="30" t="s">
        <v>379</v>
      </c>
      <c r="Q146" s="30">
        <v>120.0</v>
      </c>
    </row>
    <row r="147">
      <c r="A147" s="30" t="s">
        <v>380</v>
      </c>
      <c r="B147" s="30" t="s">
        <v>18</v>
      </c>
      <c r="C147" s="30" t="s">
        <v>374</v>
      </c>
      <c r="D147" s="30" t="s">
        <v>375</v>
      </c>
      <c r="E147" s="30" t="s">
        <v>376</v>
      </c>
      <c r="F147" s="31"/>
      <c r="G147" s="30" t="s">
        <v>381</v>
      </c>
      <c r="H147" s="30" t="s">
        <v>23</v>
      </c>
      <c r="I147" s="30">
        <v>48.0</v>
      </c>
      <c r="J147" s="30" t="s">
        <v>378</v>
      </c>
      <c r="K147" s="31"/>
      <c r="L147" s="30" t="s">
        <v>44</v>
      </c>
      <c r="M147" s="30">
        <v>2015.0</v>
      </c>
      <c r="N147" s="32" t="s">
        <v>26</v>
      </c>
      <c r="O147" s="30">
        <v>3600.0</v>
      </c>
      <c r="P147" s="30" t="s">
        <v>379</v>
      </c>
      <c r="Q147" s="30">
        <v>120.0</v>
      </c>
    </row>
    <row r="148">
      <c r="A148" s="30" t="s">
        <v>382</v>
      </c>
      <c r="B148" s="30" t="s">
        <v>18</v>
      </c>
      <c r="C148" s="30" t="s">
        <v>374</v>
      </c>
      <c r="D148" s="30" t="s">
        <v>375</v>
      </c>
      <c r="E148" s="30" t="s">
        <v>376</v>
      </c>
      <c r="F148" s="31"/>
      <c r="G148" s="30" t="s">
        <v>383</v>
      </c>
      <c r="H148" s="30" t="s">
        <v>23</v>
      </c>
      <c r="I148" s="30">
        <v>70.0</v>
      </c>
      <c r="J148" s="30" t="s">
        <v>378</v>
      </c>
      <c r="K148" s="31"/>
      <c r="L148" s="30" t="s">
        <v>38</v>
      </c>
      <c r="M148" s="30">
        <v>1995.0</v>
      </c>
      <c r="N148" s="32" t="s">
        <v>31</v>
      </c>
      <c r="O148" s="30">
        <v>1000.0</v>
      </c>
      <c r="P148" s="30" t="s">
        <v>379</v>
      </c>
      <c r="Q148" s="30">
        <v>120.0</v>
      </c>
    </row>
    <row r="149">
      <c r="A149" s="30" t="s">
        <v>384</v>
      </c>
      <c r="B149" s="30" t="s">
        <v>18</v>
      </c>
      <c r="C149" s="30" t="s">
        <v>374</v>
      </c>
      <c r="D149" s="30" t="s">
        <v>375</v>
      </c>
      <c r="E149" s="30" t="s">
        <v>376</v>
      </c>
      <c r="F149" s="31"/>
      <c r="G149" s="30" t="s">
        <v>385</v>
      </c>
      <c r="H149" s="30" t="s">
        <v>106</v>
      </c>
      <c r="I149" s="30">
        <v>60.0</v>
      </c>
      <c r="J149" s="30" t="s">
        <v>378</v>
      </c>
      <c r="K149" s="31"/>
      <c r="L149" s="30" t="s">
        <v>44</v>
      </c>
      <c r="M149" s="30">
        <v>2020.0</v>
      </c>
      <c r="N149" s="32" t="s">
        <v>31</v>
      </c>
      <c r="O149" s="30">
        <v>600.0</v>
      </c>
      <c r="P149" s="30" t="s">
        <v>379</v>
      </c>
      <c r="Q149" s="30">
        <v>120.0</v>
      </c>
    </row>
    <row r="150">
      <c r="A150" s="30" t="s">
        <v>386</v>
      </c>
      <c r="B150" s="30" t="s">
        <v>18</v>
      </c>
      <c r="C150" s="30" t="s">
        <v>374</v>
      </c>
      <c r="D150" s="30" t="s">
        <v>375</v>
      </c>
      <c r="E150" s="30" t="s">
        <v>376</v>
      </c>
      <c r="F150" s="31"/>
      <c r="G150" s="30" t="s">
        <v>387</v>
      </c>
      <c r="H150" s="30" t="s">
        <v>23</v>
      </c>
      <c r="I150" s="30">
        <v>40.0</v>
      </c>
      <c r="J150" s="30" t="s">
        <v>378</v>
      </c>
      <c r="K150" s="31"/>
      <c r="L150" s="30" t="s">
        <v>44</v>
      </c>
      <c r="M150" s="30">
        <v>2015.0</v>
      </c>
      <c r="N150" s="32" t="s">
        <v>26</v>
      </c>
      <c r="O150" s="30">
        <v>600.0</v>
      </c>
      <c r="P150" s="30" t="s">
        <v>379</v>
      </c>
      <c r="Q150" s="30">
        <v>120.0</v>
      </c>
    </row>
    <row r="151">
      <c r="A151" s="30" t="s">
        <v>388</v>
      </c>
      <c r="B151" s="30" t="s">
        <v>18</v>
      </c>
      <c r="C151" s="30" t="s">
        <v>374</v>
      </c>
      <c r="D151" s="30" t="s">
        <v>375</v>
      </c>
      <c r="E151" s="30" t="s">
        <v>376</v>
      </c>
      <c r="F151" s="31"/>
      <c r="G151" s="30" t="s">
        <v>389</v>
      </c>
      <c r="H151" s="30" t="s">
        <v>23</v>
      </c>
      <c r="I151" s="30">
        <v>73.0</v>
      </c>
      <c r="J151" s="30" t="s">
        <v>378</v>
      </c>
      <c r="K151" s="31"/>
      <c r="L151" s="30" t="s">
        <v>25</v>
      </c>
      <c r="M151" s="30">
        <v>1980.0</v>
      </c>
      <c r="N151" s="32" t="s">
        <v>26</v>
      </c>
      <c r="O151" s="30">
        <v>500.0</v>
      </c>
      <c r="P151" s="30" t="s">
        <v>379</v>
      </c>
      <c r="Q151" s="30">
        <v>120.0</v>
      </c>
    </row>
    <row r="152">
      <c r="A152" s="30" t="s">
        <v>390</v>
      </c>
      <c r="B152" s="30" t="s">
        <v>18</v>
      </c>
      <c r="C152" s="30" t="s">
        <v>374</v>
      </c>
      <c r="D152" s="30" t="s">
        <v>375</v>
      </c>
      <c r="E152" s="30" t="s">
        <v>376</v>
      </c>
      <c r="F152" s="31"/>
      <c r="G152" s="30" t="s">
        <v>391</v>
      </c>
      <c r="H152" s="30" t="s">
        <v>23</v>
      </c>
      <c r="I152" s="30">
        <v>48.0</v>
      </c>
      <c r="J152" s="30" t="s">
        <v>378</v>
      </c>
      <c r="K152" s="31"/>
      <c r="L152" s="30" t="s">
        <v>44</v>
      </c>
      <c r="M152" s="30">
        <v>2017.0</v>
      </c>
      <c r="N152" s="32" t="s">
        <v>26</v>
      </c>
      <c r="O152" s="30">
        <v>500.0</v>
      </c>
      <c r="P152" s="30" t="s">
        <v>47</v>
      </c>
      <c r="Q152" s="30">
        <v>87.0</v>
      </c>
    </row>
    <row r="153">
      <c r="A153" s="30" t="s">
        <v>392</v>
      </c>
      <c r="B153" s="30" t="s">
        <v>18</v>
      </c>
      <c r="C153" s="30" t="s">
        <v>374</v>
      </c>
      <c r="D153" s="30" t="s">
        <v>375</v>
      </c>
      <c r="E153" s="30" t="s">
        <v>376</v>
      </c>
      <c r="F153" s="31"/>
      <c r="G153" s="30" t="s">
        <v>393</v>
      </c>
      <c r="H153" s="30" t="s">
        <v>106</v>
      </c>
      <c r="I153" s="30">
        <v>79.0</v>
      </c>
      <c r="J153" s="30" t="s">
        <v>378</v>
      </c>
      <c r="K153" s="31"/>
      <c r="L153" s="30" t="s">
        <v>44</v>
      </c>
      <c r="M153" s="30">
        <v>1971.0</v>
      </c>
      <c r="N153" s="32" t="s">
        <v>26</v>
      </c>
      <c r="O153" s="30">
        <v>600.0</v>
      </c>
      <c r="P153" s="30" t="s">
        <v>379</v>
      </c>
      <c r="Q153" s="30">
        <v>120.0</v>
      </c>
    </row>
    <row r="154">
      <c r="A154" s="30" t="s">
        <v>394</v>
      </c>
      <c r="B154" s="30" t="s">
        <v>18</v>
      </c>
      <c r="C154" s="30" t="s">
        <v>374</v>
      </c>
      <c r="D154" s="30" t="s">
        <v>375</v>
      </c>
      <c r="E154" s="30" t="s">
        <v>376</v>
      </c>
      <c r="F154" s="31"/>
      <c r="G154" s="30" t="s">
        <v>395</v>
      </c>
      <c r="H154" s="30" t="s">
        <v>106</v>
      </c>
      <c r="I154" s="30">
        <v>58.0</v>
      </c>
      <c r="J154" s="30" t="s">
        <v>378</v>
      </c>
      <c r="K154" s="31"/>
      <c r="L154" s="30" t="s">
        <v>44</v>
      </c>
      <c r="M154" s="30">
        <v>2020.0</v>
      </c>
      <c r="N154" s="32" t="s">
        <v>31</v>
      </c>
      <c r="O154" s="30">
        <v>1000.0</v>
      </c>
      <c r="P154" s="30" t="s">
        <v>379</v>
      </c>
      <c r="Q154" s="30">
        <v>120.0</v>
      </c>
    </row>
    <row r="155">
      <c r="A155" s="30" t="s">
        <v>396</v>
      </c>
      <c r="B155" s="30" t="s">
        <v>18</v>
      </c>
      <c r="C155" s="30" t="s">
        <v>374</v>
      </c>
      <c r="D155" s="30" t="s">
        <v>375</v>
      </c>
      <c r="E155" s="30" t="s">
        <v>376</v>
      </c>
      <c r="F155" s="31"/>
      <c r="G155" s="30" t="s">
        <v>397</v>
      </c>
      <c r="H155" s="30" t="s">
        <v>23</v>
      </c>
      <c r="I155" s="30">
        <v>70.0</v>
      </c>
      <c r="J155" s="30" t="s">
        <v>378</v>
      </c>
      <c r="K155" s="31"/>
      <c r="L155" s="30" t="s">
        <v>44</v>
      </c>
      <c r="M155" s="30">
        <v>2015.0</v>
      </c>
      <c r="N155" s="32" t="s">
        <v>26</v>
      </c>
      <c r="O155" s="30">
        <v>500.0</v>
      </c>
      <c r="P155" s="30" t="s">
        <v>47</v>
      </c>
      <c r="Q155" s="30">
        <v>87.0</v>
      </c>
    </row>
    <row r="156">
      <c r="A156" s="30" t="s">
        <v>398</v>
      </c>
      <c r="B156" s="30" t="s">
        <v>18</v>
      </c>
      <c r="C156" s="30" t="s">
        <v>374</v>
      </c>
      <c r="D156" s="30" t="s">
        <v>399</v>
      </c>
      <c r="E156" s="30" t="s">
        <v>400</v>
      </c>
      <c r="F156" s="31"/>
      <c r="G156" s="30" t="s">
        <v>401</v>
      </c>
      <c r="H156" s="30" t="s">
        <v>106</v>
      </c>
      <c r="I156" s="30">
        <v>41.0</v>
      </c>
      <c r="J156" s="30" t="s">
        <v>402</v>
      </c>
      <c r="K156" s="31"/>
      <c r="L156" s="30" t="s">
        <v>44</v>
      </c>
      <c r="M156" s="30">
        <v>2004.0</v>
      </c>
      <c r="N156" s="32" t="s">
        <v>26</v>
      </c>
      <c r="O156" s="30">
        <v>2000.0</v>
      </c>
      <c r="P156" s="30" t="s">
        <v>379</v>
      </c>
      <c r="Q156" s="30">
        <v>120.0</v>
      </c>
    </row>
    <row r="157">
      <c r="A157" s="30" t="s">
        <v>403</v>
      </c>
      <c r="B157" s="30" t="s">
        <v>18</v>
      </c>
      <c r="C157" s="30" t="s">
        <v>374</v>
      </c>
      <c r="D157" s="30" t="s">
        <v>375</v>
      </c>
      <c r="E157" s="30" t="s">
        <v>400</v>
      </c>
      <c r="F157" s="31"/>
      <c r="G157" s="30" t="s">
        <v>404</v>
      </c>
      <c r="H157" s="30" t="s">
        <v>106</v>
      </c>
      <c r="I157" s="30">
        <v>52.0</v>
      </c>
      <c r="J157" s="30" t="s">
        <v>402</v>
      </c>
      <c r="K157" s="31"/>
      <c r="L157" s="30" t="s">
        <v>44</v>
      </c>
      <c r="M157" s="30">
        <v>2023.0</v>
      </c>
      <c r="N157" s="32" t="s">
        <v>31</v>
      </c>
      <c r="O157" s="30">
        <v>600.0</v>
      </c>
      <c r="P157" s="30" t="s">
        <v>47</v>
      </c>
      <c r="Q157" s="30">
        <v>87.0</v>
      </c>
    </row>
    <row r="158">
      <c r="A158" s="30" t="s">
        <v>405</v>
      </c>
      <c r="B158" s="30" t="s">
        <v>18</v>
      </c>
      <c r="C158" s="30" t="s">
        <v>374</v>
      </c>
      <c r="D158" s="30" t="s">
        <v>375</v>
      </c>
      <c r="E158" s="30" t="s">
        <v>400</v>
      </c>
      <c r="F158" s="31"/>
      <c r="G158" s="30" t="s">
        <v>406</v>
      </c>
      <c r="H158" s="30" t="s">
        <v>106</v>
      </c>
      <c r="I158" s="30">
        <v>41.0</v>
      </c>
      <c r="J158" s="30" t="s">
        <v>402</v>
      </c>
      <c r="K158" s="31"/>
      <c r="L158" s="30" t="s">
        <v>44</v>
      </c>
      <c r="M158" s="30">
        <v>2020.0</v>
      </c>
      <c r="N158" s="32" t="s">
        <v>26</v>
      </c>
      <c r="O158" s="30">
        <v>3000.0</v>
      </c>
      <c r="P158" s="30" t="s">
        <v>407</v>
      </c>
      <c r="Q158" s="30">
        <v>125.0</v>
      </c>
    </row>
    <row r="159">
      <c r="A159" s="30" t="s">
        <v>408</v>
      </c>
      <c r="B159" s="30" t="s">
        <v>18</v>
      </c>
      <c r="C159" s="30" t="s">
        <v>374</v>
      </c>
      <c r="D159" s="30" t="s">
        <v>375</v>
      </c>
      <c r="E159" s="30" t="s">
        <v>400</v>
      </c>
      <c r="F159" s="31"/>
      <c r="G159" s="30" t="s">
        <v>409</v>
      </c>
      <c r="H159" s="30" t="s">
        <v>23</v>
      </c>
      <c r="I159" s="30">
        <v>42.0</v>
      </c>
      <c r="J159" s="30" t="s">
        <v>402</v>
      </c>
      <c r="K159" s="31"/>
      <c r="L159" s="30" t="s">
        <v>44</v>
      </c>
      <c r="M159" s="30">
        <v>2015.0</v>
      </c>
      <c r="N159" s="32" t="s">
        <v>31</v>
      </c>
      <c r="O159" s="30">
        <v>1000.0</v>
      </c>
      <c r="P159" s="30" t="s">
        <v>379</v>
      </c>
      <c r="Q159" s="30">
        <v>120.0</v>
      </c>
    </row>
    <row r="160">
      <c r="A160" s="30" t="s">
        <v>410</v>
      </c>
      <c r="B160" s="30" t="s">
        <v>18</v>
      </c>
      <c r="C160" s="30" t="s">
        <v>374</v>
      </c>
      <c r="D160" s="30" t="s">
        <v>375</v>
      </c>
      <c r="E160" s="30" t="s">
        <v>400</v>
      </c>
      <c r="F160" s="31"/>
      <c r="G160" s="30" t="s">
        <v>411</v>
      </c>
      <c r="H160" s="30" t="s">
        <v>106</v>
      </c>
      <c r="I160" s="30">
        <v>73.0</v>
      </c>
      <c r="J160" s="30" t="s">
        <v>402</v>
      </c>
      <c r="K160" s="31"/>
      <c r="L160" s="30" t="s">
        <v>44</v>
      </c>
      <c r="M160" s="30">
        <v>2010.0</v>
      </c>
      <c r="N160" s="32" t="s">
        <v>31</v>
      </c>
      <c r="O160" s="30">
        <v>1400.0</v>
      </c>
      <c r="P160" s="30" t="s">
        <v>407</v>
      </c>
      <c r="Q160" s="30">
        <v>125.0</v>
      </c>
    </row>
    <row r="161">
      <c r="A161" s="30" t="s">
        <v>412</v>
      </c>
      <c r="B161" s="30" t="s">
        <v>18</v>
      </c>
      <c r="C161" s="30" t="s">
        <v>374</v>
      </c>
      <c r="D161" s="30" t="s">
        <v>375</v>
      </c>
      <c r="E161" s="30" t="s">
        <v>400</v>
      </c>
      <c r="F161" s="31"/>
      <c r="G161" s="30" t="s">
        <v>413</v>
      </c>
      <c r="H161" s="30" t="s">
        <v>23</v>
      </c>
      <c r="I161" s="30">
        <v>62.0</v>
      </c>
      <c r="J161" s="30" t="s">
        <v>402</v>
      </c>
      <c r="K161" s="31"/>
      <c r="L161" s="30" t="s">
        <v>44</v>
      </c>
      <c r="M161" s="30">
        <v>2015.0</v>
      </c>
      <c r="N161" s="32" t="s">
        <v>31</v>
      </c>
      <c r="O161" s="30">
        <v>1000.0</v>
      </c>
      <c r="P161" s="30" t="s">
        <v>414</v>
      </c>
      <c r="Q161" s="30">
        <v>100.0</v>
      </c>
    </row>
    <row r="162">
      <c r="A162" s="30" t="s">
        <v>415</v>
      </c>
      <c r="B162" s="30" t="s">
        <v>18</v>
      </c>
      <c r="C162" s="30" t="s">
        <v>374</v>
      </c>
      <c r="D162" s="30" t="s">
        <v>375</v>
      </c>
      <c r="E162" s="30" t="s">
        <v>400</v>
      </c>
      <c r="F162" s="31"/>
      <c r="G162" s="30" t="s">
        <v>416</v>
      </c>
      <c r="H162" s="30" t="s">
        <v>106</v>
      </c>
      <c r="I162" s="30">
        <v>65.0</v>
      </c>
      <c r="J162" s="30" t="s">
        <v>402</v>
      </c>
      <c r="K162" s="31"/>
      <c r="L162" s="30" t="s">
        <v>44</v>
      </c>
      <c r="M162" s="30">
        <v>2015.0</v>
      </c>
      <c r="N162" s="32" t="s">
        <v>26</v>
      </c>
      <c r="O162" s="30">
        <v>800.0</v>
      </c>
      <c r="P162" s="30" t="s">
        <v>379</v>
      </c>
      <c r="Q162" s="30">
        <v>120.0</v>
      </c>
    </row>
    <row r="163">
      <c r="A163" s="30" t="s">
        <v>417</v>
      </c>
      <c r="B163" s="30" t="s">
        <v>18</v>
      </c>
      <c r="C163" s="30" t="s">
        <v>374</v>
      </c>
      <c r="D163" s="30" t="s">
        <v>375</v>
      </c>
      <c r="E163" s="30" t="s">
        <v>400</v>
      </c>
      <c r="F163" s="31"/>
      <c r="G163" s="30" t="s">
        <v>418</v>
      </c>
      <c r="H163" s="30" t="s">
        <v>106</v>
      </c>
      <c r="I163" s="30">
        <v>52.0</v>
      </c>
      <c r="J163" s="30" t="s">
        <v>402</v>
      </c>
      <c r="K163" s="31"/>
      <c r="L163" s="30" t="s">
        <v>44</v>
      </c>
      <c r="M163" s="30">
        <v>2020.0</v>
      </c>
      <c r="N163" s="32" t="s">
        <v>31</v>
      </c>
      <c r="O163" s="30">
        <v>800.0</v>
      </c>
      <c r="P163" s="30" t="s">
        <v>379</v>
      </c>
      <c r="Q163" s="30">
        <v>120.0</v>
      </c>
    </row>
    <row r="164">
      <c r="A164" s="30" t="s">
        <v>419</v>
      </c>
      <c r="B164" s="30" t="s">
        <v>18</v>
      </c>
      <c r="C164" s="30" t="s">
        <v>374</v>
      </c>
      <c r="D164" s="30" t="s">
        <v>375</v>
      </c>
      <c r="E164" s="30" t="s">
        <v>400</v>
      </c>
      <c r="F164" s="31"/>
      <c r="G164" s="30" t="s">
        <v>420</v>
      </c>
      <c r="H164" s="30" t="s">
        <v>106</v>
      </c>
      <c r="I164" s="30">
        <v>48.0</v>
      </c>
      <c r="J164" s="30" t="s">
        <v>402</v>
      </c>
      <c r="K164" s="31"/>
      <c r="L164" s="30" t="s">
        <v>44</v>
      </c>
      <c r="M164" s="30">
        <v>2001.0</v>
      </c>
      <c r="N164" s="32" t="s">
        <v>31</v>
      </c>
      <c r="O164" s="30">
        <v>1300.0</v>
      </c>
      <c r="P164" s="30" t="s">
        <v>379</v>
      </c>
      <c r="Q164" s="30">
        <v>120.0</v>
      </c>
    </row>
    <row r="165">
      <c r="A165" s="30" t="s">
        <v>421</v>
      </c>
      <c r="B165" s="30" t="s">
        <v>18</v>
      </c>
      <c r="C165" s="30" t="s">
        <v>374</v>
      </c>
      <c r="D165" s="30" t="s">
        <v>375</v>
      </c>
      <c r="E165" s="30" t="s">
        <v>400</v>
      </c>
      <c r="F165" s="31"/>
      <c r="G165" s="30" t="s">
        <v>422</v>
      </c>
      <c r="H165" s="30" t="s">
        <v>106</v>
      </c>
      <c r="I165" s="30">
        <v>55.0</v>
      </c>
      <c r="J165" s="30" t="s">
        <v>402</v>
      </c>
      <c r="K165" s="31"/>
      <c r="L165" s="30" t="s">
        <v>44</v>
      </c>
      <c r="M165" s="30">
        <v>1995.0</v>
      </c>
      <c r="N165" s="32" t="s">
        <v>26</v>
      </c>
      <c r="O165" s="30">
        <v>2000.0</v>
      </c>
      <c r="P165" s="30" t="s">
        <v>379</v>
      </c>
      <c r="Q165" s="30">
        <v>120.0</v>
      </c>
    </row>
    <row r="166">
      <c r="A166" s="30" t="s">
        <v>423</v>
      </c>
      <c r="B166" s="30" t="s">
        <v>18</v>
      </c>
      <c r="C166" s="30" t="s">
        <v>374</v>
      </c>
      <c r="D166" s="30" t="s">
        <v>424</v>
      </c>
      <c r="E166" s="30" t="s">
        <v>425</v>
      </c>
      <c r="F166" s="31"/>
      <c r="G166" s="30" t="s">
        <v>426</v>
      </c>
      <c r="H166" s="30" t="s">
        <v>106</v>
      </c>
      <c r="I166" s="30">
        <v>42.0</v>
      </c>
      <c r="J166" s="30" t="s">
        <v>425</v>
      </c>
      <c r="K166" s="31"/>
      <c r="L166" s="30" t="s">
        <v>38</v>
      </c>
      <c r="M166" s="30">
        <v>2005.0</v>
      </c>
      <c r="N166" s="32" t="s">
        <v>171</v>
      </c>
      <c r="O166" s="30">
        <v>5000.0</v>
      </c>
      <c r="P166" s="30" t="s">
        <v>39</v>
      </c>
      <c r="Q166" s="30">
        <v>87.0</v>
      </c>
    </row>
    <row r="167">
      <c r="A167" s="30" t="s">
        <v>427</v>
      </c>
      <c r="B167" s="30" t="s">
        <v>18</v>
      </c>
      <c r="C167" s="30" t="s">
        <v>374</v>
      </c>
      <c r="D167" s="30" t="s">
        <v>424</v>
      </c>
      <c r="E167" s="30" t="s">
        <v>425</v>
      </c>
      <c r="F167" s="31"/>
      <c r="G167" s="30" t="s">
        <v>428</v>
      </c>
      <c r="H167" s="30" t="s">
        <v>106</v>
      </c>
      <c r="I167" s="30">
        <v>50.0</v>
      </c>
      <c r="J167" s="30" t="s">
        <v>425</v>
      </c>
      <c r="K167" s="31"/>
      <c r="L167" s="30" t="s">
        <v>38</v>
      </c>
      <c r="M167" s="30">
        <v>2005.0</v>
      </c>
      <c r="N167" s="32" t="s">
        <v>63</v>
      </c>
      <c r="O167" s="30">
        <v>6500.0</v>
      </c>
      <c r="P167" s="30" t="s">
        <v>39</v>
      </c>
      <c r="Q167" s="30">
        <v>87.0</v>
      </c>
    </row>
    <row r="168">
      <c r="A168" s="30" t="s">
        <v>429</v>
      </c>
      <c r="B168" s="30" t="s">
        <v>18</v>
      </c>
      <c r="C168" s="30" t="s">
        <v>374</v>
      </c>
      <c r="D168" s="30" t="s">
        <v>424</v>
      </c>
      <c r="E168" s="30" t="s">
        <v>425</v>
      </c>
      <c r="F168" s="31"/>
      <c r="G168" s="30" t="s">
        <v>430</v>
      </c>
      <c r="H168" s="30" t="s">
        <v>106</v>
      </c>
      <c r="I168" s="30">
        <v>65.0</v>
      </c>
      <c r="J168" s="30" t="s">
        <v>425</v>
      </c>
      <c r="K168" s="31"/>
      <c r="L168" s="30" t="s">
        <v>58</v>
      </c>
      <c r="M168" s="30">
        <v>1980.0</v>
      </c>
      <c r="N168" s="32" t="s">
        <v>26</v>
      </c>
      <c r="O168" s="30">
        <v>2000.0</v>
      </c>
      <c r="P168" s="30" t="s">
        <v>39</v>
      </c>
      <c r="Q168" s="30">
        <v>87.0</v>
      </c>
    </row>
    <row r="169">
      <c r="A169" s="30" t="s">
        <v>431</v>
      </c>
      <c r="B169" s="30" t="s">
        <v>18</v>
      </c>
      <c r="C169" s="30" t="s">
        <v>374</v>
      </c>
      <c r="D169" s="30" t="s">
        <v>424</v>
      </c>
      <c r="E169" s="30" t="s">
        <v>425</v>
      </c>
      <c r="F169" s="31"/>
      <c r="G169" s="30" t="s">
        <v>432</v>
      </c>
      <c r="H169" s="30" t="s">
        <v>106</v>
      </c>
      <c r="I169" s="30">
        <v>55.0</v>
      </c>
      <c r="J169" s="30" t="s">
        <v>425</v>
      </c>
      <c r="K169" s="31"/>
      <c r="L169" s="30" t="s">
        <v>25</v>
      </c>
      <c r="M169" s="30">
        <v>1995.0</v>
      </c>
      <c r="N169" s="32" t="s">
        <v>26</v>
      </c>
      <c r="O169" s="30">
        <v>3400.0</v>
      </c>
      <c r="P169" s="30" t="s">
        <v>39</v>
      </c>
      <c r="Q169" s="30">
        <v>87.0</v>
      </c>
    </row>
    <row r="170">
      <c r="A170" s="30" t="s">
        <v>433</v>
      </c>
      <c r="B170" s="30" t="s">
        <v>18</v>
      </c>
      <c r="C170" s="30" t="s">
        <v>374</v>
      </c>
      <c r="D170" s="30" t="s">
        <v>424</v>
      </c>
      <c r="E170" s="30" t="s">
        <v>425</v>
      </c>
      <c r="F170" s="31"/>
      <c r="G170" s="30" t="s">
        <v>434</v>
      </c>
      <c r="H170" s="30" t="s">
        <v>106</v>
      </c>
      <c r="I170" s="30">
        <v>35.0</v>
      </c>
      <c r="J170" s="30" t="s">
        <v>425</v>
      </c>
      <c r="K170" s="31"/>
      <c r="L170" s="30" t="s">
        <v>25</v>
      </c>
      <c r="M170" s="30">
        <v>2015.0</v>
      </c>
      <c r="N170" s="32" t="s">
        <v>26</v>
      </c>
      <c r="O170" s="30">
        <v>1500.0</v>
      </c>
      <c r="P170" s="30" t="s">
        <v>39</v>
      </c>
      <c r="Q170" s="30">
        <v>87.0</v>
      </c>
    </row>
    <row r="171">
      <c r="A171" s="30" t="s">
        <v>435</v>
      </c>
      <c r="B171" s="30" t="s">
        <v>18</v>
      </c>
      <c r="C171" s="30" t="s">
        <v>374</v>
      </c>
      <c r="D171" s="30" t="s">
        <v>424</v>
      </c>
      <c r="E171" s="30" t="s">
        <v>425</v>
      </c>
      <c r="F171" s="31"/>
      <c r="G171" s="30" t="s">
        <v>418</v>
      </c>
      <c r="H171" s="30" t="s">
        <v>106</v>
      </c>
      <c r="I171" s="30">
        <v>50.0</v>
      </c>
      <c r="J171" s="30" t="s">
        <v>425</v>
      </c>
      <c r="K171" s="31"/>
      <c r="L171" s="30" t="s">
        <v>44</v>
      </c>
      <c r="M171" s="30">
        <v>1995.0</v>
      </c>
      <c r="N171" s="32" t="s">
        <v>63</v>
      </c>
      <c r="O171" s="30">
        <v>1200.0</v>
      </c>
      <c r="P171" s="30" t="s">
        <v>39</v>
      </c>
      <c r="Q171" s="30">
        <v>87.0</v>
      </c>
    </row>
    <row r="172">
      <c r="A172" s="30" t="s">
        <v>436</v>
      </c>
      <c r="B172" s="30" t="s">
        <v>18</v>
      </c>
      <c r="C172" s="30" t="s">
        <v>374</v>
      </c>
      <c r="D172" s="30" t="s">
        <v>424</v>
      </c>
      <c r="E172" s="30" t="s">
        <v>425</v>
      </c>
      <c r="F172" s="31"/>
      <c r="G172" s="30" t="s">
        <v>437</v>
      </c>
      <c r="H172" s="30" t="s">
        <v>106</v>
      </c>
      <c r="I172" s="30">
        <v>42.0</v>
      </c>
      <c r="J172" s="30" t="s">
        <v>425</v>
      </c>
      <c r="K172" s="31"/>
      <c r="L172" s="30" t="s">
        <v>44</v>
      </c>
      <c r="M172" s="30">
        <v>2010.0</v>
      </c>
      <c r="N172" s="32" t="s">
        <v>26</v>
      </c>
      <c r="O172" s="30">
        <v>2500.0</v>
      </c>
      <c r="P172" s="30" t="s">
        <v>39</v>
      </c>
      <c r="Q172" s="30">
        <v>87.0</v>
      </c>
    </row>
    <row r="173" ht="15.75" customHeight="1">
      <c r="A173" s="30" t="s">
        <v>438</v>
      </c>
      <c r="B173" s="30" t="s">
        <v>18</v>
      </c>
      <c r="C173" s="30" t="s">
        <v>374</v>
      </c>
      <c r="D173" s="30" t="s">
        <v>424</v>
      </c>
      <c r="E173" s="30" t="s">
        <v>425</v>
      </c>
      <c r="F173" s="31"/>
      <c r="G173" s="30" t="s">
        <v>439</v>
      </c>
      <c r="H173" s="30" t="s">
        <v>106</v>
      </c>
      <c r="I173" s="30">
        <v>65.0</v>
      </c>
      <c r="J173" s="30" t="s">
        <v>425</v>
      </c>
      <c r="K173" s="31"/>
      <c r="L173" s="30" t="s">
        <v>440</v>
      </c>
      <c r="M173" s="30">
        <v>2985.0</v>
      </c>
      <c r="N173" s="32" t="s">
        <v>26</v>
      </c>
      <c r="O173" s="30">
        <v>10000.0</v>
      </c>
      <c r="P173" s="30" t="s">
        <v>441</v>
      </c>
      <c r="Q173" s="30">
        <v>120.0</v>
      </c>
    </row>
    <row r="174" ht="15.75" customHeight="1">
      <c r="A174" s="30" t="s">
        <v>442</v>
      </c>
      <c r="B174" s="30" t="s">
        <v>18</v>
      </c>
      <c r="C174" s="30" t="s">
        <v>374</v>
      </c>
      <c r="D174" s="30" t="s">
        <v>424</v>
      </c>
      <c r="E174" s="30" t="s">
        <v>425</v>
      </c>
      <c r="F174" s="31"/>
      <c r="G174" s="30" t="s">
        <v>128</v>
      </c>
      <c r="H174" s="30" t="s">
        <v>23</v>
      </c>
      <c r="I174" s="30">
        <v>75.0</v>
      </c>
      <c r="J174" s="30" t="s">
        <v>425</v>
      </c>
      <c r="K174" s="31"/>
      <c r="L174" s="30" t="s">
        <v>440</v>
      </c>
      <c r="M174" s="30">
        <v>1990.0</v>
      </c>
      <c r="N174" s="32" t="s">
        <v>31</v>
      </c>
      <c r="O174" s="30">
        <v>900.0</v>
      </c>
      <c r="P174" s="30" t="s">
        <v>39</v>
      </c>
      <c r="Q174" s="30">
        <v>87.0</v>
      </c>
    </row>
    <row r="175" ht="15.75" customHeight="1">
      <c r="A175" s="30" t="s">
        <v>443</v>
      </c>
      <c r="B175" s="30" t="s">
        <v>18</v>
      </c>
      <c r="C175" s="30" t="s">
        <v>374</v>
      </c>
      <c r="D175" s="30" t="s">
        <v>424</v>
      </c>
      <c r="E175" s="30" t="s">
        <v>425</v>
      </c>
      <c r="F175" s="31"/>
      <c r="G175" s="30" t="s">
        <v>444</v>
      </c>
      <c r="H175" s="30" t="s">
        <v>106</v>
      </c>
      <c r="I175" s="30">
        <v>60.0</v>
      </c>
      <c r="J175" s="30" t="s">
        <v>425</v>
      </c>
      <c r="K175" s="31"/>
      <c r="L175" s="30" t="s">
        <v>25</v>
      </c>
      <c r="M175" s="30">
        <v>2014.0</v>
      </c>
      <c r="N175" s="32" t="s">
        <v>26</v>
      </c>
      <c r="O175" s="30">
        <v>1000.0</v>
      </c>
      <c r="P175" s="30" t="s">
        <v>39</v>
      </c>
      <c r="Q175" s="30">
        <v>90.0</v>
      </c>
    </row>
    <row r="176" ht="15.75" customHeight="1">
      <c r="A176" s="30" t="s">
        <v>445</v>
      </c>
      <c r="B176" s="30" t="s">
        <v>18</v>
      </c>
      <c r="C176" s="30" t="s">
        <v>374</v>
      </c>
      <c r="D176" s="30" t="s">
        <v>424</v>
      </c>
      <c r="E176" s="30" t="s">
        <v>446</v>
      </c>
      <c r="F176" s="31"/>
      <c r="G176" s="30" t="s">
        <v>447</v>
      </c>
      <c r="H176" s="30" t="s">
        <v>106</v>
      </c>
      <c r="I176" s="30">
        <v>63.0</v>
      </c>
      <c r="J176" s="30" t="s">
        <v>446</v>
      </c>
      <c r="K176" s="31"/>
      <c r="L176" s="30" t="s">
        <v>440</v>
      </c>
      <c r="M176" s="30">
        <v>2013.0</v>
      </c>
      <c r="N176" s="32" t="s">
        <v>26</v>
      </c>
      <c r="O176" s="30">
        <v>2000.0</v>
      </c>
      <c r="P176" s="30" t="s">
        <v>379</v>
      </c>
      <c r="Q176" s="30">
        <v>120.0</v>
      </c>
    </row>
    <row r="177" ht="15.75" customHeight="1">
      <c r="A177" s="30" t="s">
        <v>448</v>
      </c>
      <c r="B177" s="30" t="s">
        <v>18</v>
      </c>
      <c r="C177" s="30" t="s">
        <v>374</v>
      </c>
      <c r="D177" s="30" t="s">
        <v>424</v>
      </c>
      <c r="E177" s="30" t="s">
        <v>446</v>
      </c>
      <c r="F177" s="30"/>
      <c r="G177" s="30" t="s">
        <v>345</v>
      </c>
      <c r="H177" s="30" t="s">
        <v>23</v>
      </c>
      <c r="I177" s="30">
        <v>67.0</v>
      </c>
      <c r="J177" s="30" t="s">
        <v>449</v>
      </c>
      <c r="K177" s="31"/>
      <c r="L177" s="30" t="s">
        <v>440</v>
      </c>
      <c r="M177" s="30">
        <v>2015.0</v>
      </c>
      <c r="N177" s="32" t="s">
        <v>31</v>
      </c>
      <c r="O177" s="30">
        <v>2000.0</v>
      </c>
      <c r="P177" s="30" t="s">
        <v>379</v>
      </c>
      <c r="Q177" s="30">
        <v>120.0</v>
      </c>
    </row>
    <row r="178" ht="15.75" customHeight="1">
      <c r="A178" s="30" t="s">
        <v>450</v>
      </c>
      <c r="B178" s="30" t="s">
        <v>18</v>
      </c>
      <c r="C178" s="30" t="s">
        <v>374</v>
      </c>
      <c r="D178" s="30" t="s">
        <v>424</v>
      </c>
      <c r="E178" s="30" t="s">
        <v>446</v>
      </c>
      <c r="F178" s="30"/>
      <c r="G178" s="30" t="s">
        <v>277</v>
      </c>
      <c r="H178" s="30" t="s">
        <v>106</v>
      </c>
      <c r="I178" s="30">
        <v>65.0</v>
      </c>
      <c r="J178" s="30" t="s">
        <v>449</v>
      </c>
      <c r="K178" s="31"/>
      <c r="L178" s="30" t="s">
        <v>440</v>
      </c>
      <c r="M178" s="30">
        <v>2019.0</v>
      </c>
      <c r="N178" s="32" t="s">
        <v>31</v>
      </c>
      <c r="O178" s="30">
        <v>2000.0</v>
      </c>
      <c r="P178" s="30" t="s">
        <v>414</v>
      </c>
      <c r="Q178" s="30">
        <v>100.0</v>
      </c>
    </row>
    <row r="179" ht="15.75" customHeight="1">
      <c r="A179" s="30" t="s">
        <v>451</v>
      </c>
      <c r="B179" s="30" t="s">
        <v>18</v>
      </c>
      <c r="C179" s="30" t="s">
        <v>374</v>
      </c>
      <c r="D179" s="30" t="s">
        <v>424</v>
      </c>
      <c r="E179" s="30" t="s">
        <v>446</v>
      </c>
      <c r="F179" s="30"/>
      <c r="G179" s="30" t="s">
        <v>452</v>
      </c>
      <c r="H179" s="30" t="s">
        <v>106</v>
      </c>
      <c r="I179" s="30">
        <v>63.0</v>
      </c>
      <c r="J179" s="30" t="s">
        <v>449</v>
      </c>
      <c r="K179" s="31"/>
      <c r="L179" s="30" t="s">
        <v>440</v>
      </c>
      <c r="M179" s="30">
        <v>2018.0</v>
      </c>
      <c r="N179" s="32" t="s">
        <v>31</v>
      </c>
      <c r="O179" s="30">
        <v>1400.0</v>
      </c>
      <c r="P179" s="30" t="s">
        <v>379</v>
      </c>
      <c r="Q179" s="30">
        <v>120.0</v>
      </c>
    </row>
    <row r="180" ht="15.75" customHeight="1">
      <c r="A180" s="30" t="s">
        <v>453</v>
      </c>
      <c r="B180" s="30" t="s">
        <v>18</v>
      </c>
      <c r="C180" s="30" t="s">
        <v>374</v>
      </c>
      <c r="D180" s="30" t="s">
        <v>424</v>
      </c>
      <c r="E180" s="30" t="s">
        <v>446</v>
      </c>
      <c r="F180" s="30"/>
      <c r="G180" s="30" t="s">
        <v>454</v>
      </c>
      <c r="H180" s="30" t="s">
        <v>106</v>
      </c>
      <c r="I180" s="30">
        <v>60.0</v>
      </c>
      <c r="J180" s="30" t="s">
        <v>455</v>
      </c>
      <c r="K180" s="31"/>
      <c r="L180" s="30" t="s">
        <v>440</v>
      </c>
      <c r="M180" s="30">
        <v>2003.0</v>
      </c>
      <c r="N180" s="32" t="s">
        <v>26</v>
      </c>
      <c r="O180" s="30">
        <v>1000.0</v>
      </c>
      <c r="P180" s="30" t="s">
        <v>39</v>
      </c>
      <c r="Q180" s="30">
        <v>125.0</v>
      </c>
    </row>
    <row r="181" ht="15.75" customHeight="1">
      <c r="A181" s="30" t="s">
        <v>456</v>
      </c>
      <c r="B181" s="30" t="s">
        <v>18</v>
      </c>
      <c r="C181" s="30" t="s">
        <v>374</v>
      </c>
      <c r="D181" s="30" t="s">
        <v>424</v>
      </c>
      <c r="E181" s="30" t="s">
        <v>446</v>
      </c>
      <c r="F181" s="30"/>
      <c r="G181" s="30" t="s">
        <v>179</v>
      </c>
      <c r="H181" s="30" t="s">
        <v>23</v>
      </c>
      <c r="I181" s="30">
        <v>60.0</v>
      </c>
      <c r="J181" s="30" t="s">
        <v>446</v>
      </c>
      <c r="K181" s="31"/>
      <c r="L181" s="30" t="s">
        <v>38</v>
      </c>
      <c r="M181" s="30">
        <v>2022.0</v>
      </c>
      <c r="N181" s="32" t="s">
        <v>26</v>
      </c>
      <c r="O181" s="30">
        <v>500.0</v>
      </c>
      <c r="P181" s="30" t="s">
        <v>379</v>
      </c>
      <c r="Q181" s="30">
        <v>120.0</v>
      </c>
    </row>
    <row r="182" ht="15.75" customHeight="1">
      <c r="A182" s="30" t="s">
        <v>457</v>
      </c>
      <c r="B182" s="30" t="s">
        <v>18</v>
      </c>
      <c r="C182" s="30" t="s">
        <v>374</v>
      </c>
      <c r="D182" s="30" t="s">
        <v>424</v>
      </c>
      <c r="E182" s="30" t="s">
        <v>446</v>
      </c>
      <c r="F182" s="30"/>
      <c r="G182" s="30" t="s">
        <v>360</v>
      </c>
      <c r="H182" s="30" t="s">
        <v>106</v>
      </c>
      <c r="I182" s="30">
        <v>52.0</v>
      </c>
      <c r="J182" s="30" t="s">
        <v>449</v>
      </c>
      <c r="K182" s="31"/>
      <c r="L182" s="30" t="s">
        <v>440</v>
      </c>
      <c r="M182" s="30">
        <v>1985.0</v>
      </c>
      <c r="N182" s="32" t="s">
        <v>31</v>
      </c>
      <c r="O182" s="30">
        <v>2500.0</v>
      </c>
      <c r="P182" s="30" t="s">
        <v>103</v>
      </c>
      <c r="Q182" s="30">
        <v>130.0</v>
      </c>
    </row>
    <row r="183" ht="15.75" customHeight="1">
      <c r="A183" s="30" t="s">
        <v>458</v>
      </c>
      <c r="B183" s="30" t="s">
        <v>18</v>
      </c>
      <c r="C183" s="30" t="s">
        <v>374</v>
      </c>
      <c r="D183" s="30" t="s">
        <v>424</v>
      </c>
      <c r="E183" s="30" t="s">
        <v>446</v>
      </c>
      <c r="F183" s="30"/>
      <c r="G183" s="30" t="s">
        <v>459</v>
      </c>
      <c r="H183" s="30" t="s">
        <v>106</v>
      </c>
      <c r="I183" s="30">
        <v>56.0</v>
      </c>
      <c r="J183" s="30" t="s">
        <v>449</v>
      </c>
      <c r="K183" s="31"/>
      <c r="L183" s="30" t="s">
        <v>440</v>
      </c>
      <c r="M183" s="30">
        <v>1995.0</v>
      </c>
      <c r="N183" s="32" t="s">
        <v>31</v>
      </c>
      <c r="O183" s="30">
        <v>1600.0</v>
      </c>
      <c r="P183" s="30" t="s">
        <v>39</v>
      </c>
      <c r="Q183" s="30">
        <v>125.0</v>
      </c>
    </row>
    <row r="184" ht="15.75" customHeight="1">
      <c r="A184" s="30" t="s">
        <v>460</v>
      </c>
      <c r="B184" s="30" t="s">
        <v>18</v>
      </c>
      <c r="C184" s="30" t="s">
        <v>374</v>
      </c>
      <c r="D184" s="30" t="s">
        <v>424</v>
      </c>
      <c r="E184" s="30" t="s">
        <v>446</v>
      </c>
      <c r="F184" s="30"/>
      <c r="G184" s="30" t="s">
        <v>461</v>
      </c>
      <c r="H184" s="30" t="s">
        <v>106</v>
      </c>
      <c r="I184" s="30">
        <v>38.0</v>
      </c>
      <c r="J184" s="30" t="s">
        <v>446</v>
      </c>
      <c r="K184" s="31"/>
      <c r="L184" s="30" t="s">
        <v>25</v>
      </c>
      <c r="M184" s="30">
        <v>2021.0</v>
      </c>
      <c r="N184" s="32" t="s">
        <v>26</v>
      </c>
      <c r="O184" s="30">
        <v>2000.0</v>
      </c>
      <c r="P184" s="30" t="s">
        <v>462</v>
      </c>
      <c r="Q184" s="30">
        <v>87.0</v>
      </c>
    </row>
    <row r="185" ht="15.75" customHeight="1">
      <c r="A185" s="30" t="s">
        <v>463</v>
      </c>
      <c r="B185" s="30" t="s">
        <v>18</v>
      </c>
      <c r="C185" s="30" t="s">
        <v>374</v>
      </c>
      <c r="D185" s="30" t="s">
        <v>424</v>
      </c>
      <c r="E185" s="30" t="s">
        <v>446</v>
      </c>
      <c r="F185" s="30"/>
      <c r="G185" s="30" t="s">
        <v>464</v>
      </c>
      <c r="H185" s="30" t="s">
        <v>106</v>
      </c>
      <c r="I185" s="30">
        <v>31.0</v>
      </c>
      <c r="J185" s="30" t="s">
        <v>449</v>
      </c>
      <c r="K185" s="31"/>
      <c r="L185" s="30" t="s">
        <v>440</v>
      </c>
      <c r="M185" s="30">
        <v>2020.0</v>
      </c>
      <c r="N185" s="32" t="s">
        <v>31</v>
      </c>
      <c r="O185" s="30">
        <v>1200.0</v>
      </c>
      <c r="P185" s="30" t="s">
        <v>379</v>
      </c>
      <c r="Q185" s="30">
        <v>110.0</v>
      </c>
    </row>
    <row r="206" ht="15.75" customHeight="1">
      <c r="J206" s="33"/>
    </row>
    <row r="207" ht="15.75" customHeight="1">
      <c r="J207" s="33"/>
    </row>
    <row r="208" ht="15.75" customHeight="1">
      <c r="J208" s="33"/>
    </row>
    <row r="209" ht="15.75" customHeight="1">
      <c r="J209" s="33"/>
    </row>
    <row r="210" ht="15.75" customHeight="1">
      <c r="J210" s="33"/>
    </row>
    <row r="211" ht="15.75" customHeight="1">
      <c r="J211" s="33"/>
    </row>
    <row r="212" ht="15.75" customHeight="1">
      <c r="J212" s="33"/>
    </row>
    <row r="213" ht="15.75" customHeight="1">
      <c r="J213" s="33"/>
    </row>
    <row r="214" ht="15.75" customHeight="1">
      <c r="J214" s="33"/>
    </row>
    <row r="215" ht="15.75" customHeight="1">
      <c r="J215" s="33"/>
    </row>
    <row r="216" ht="15.75" customHeight="1">
      <c r="J216" s="33"/>
    </row>
    <row r="217" ht="15.75" customHeight="1">
      <c r="J217" s="33"/>
    </row>
    <row r="218" ht="15.75" customHeight="1">
      <c r="J218" s="33"/>
    </row>
    <row r="219" ht="15.75" customHeight="1">
      <c r="J219" s="33"/>
    </row>
    <row r="220" ht="15.75" customHeight="1">
      <c r="J220" s="33"/>
    </row>
    <row r="221" ht="15.75" customHeight="1">
      <c r="J221" s="33"/>
    </row>
    <row r="222" ht="15.75" customHeight="1">
      <c r="J222" s="33"/>
    </row>
    <row r="223" ht="15.75" customHeight="1">
      <c r="J223" s="33"/>
    </row>
    <row r="224" ht="15.75" customHeight="1">
      <c r="J224" s="33"/>
    </row>
    <row r="225" ht="15.75" customHeight="1">
      <c r="J225" s="33"/>
    </row>
    <row r="226" ht="15.75" customHeight="1">
      <c r="J226" s="33"/>
    </row>
    <row r="227" ht="15.75" customHeight="1">
      <c r="J227" s="33"/>
    </row>
    <row r="228" ht="15.75" customHeight="1">
      <c r="J228" s="33"/>
    </row>
    <row r="229" ht="15.75" customHeight="1">
      <c r="J229" s="33"/>
    </row>
    <row r="230" ht="15.75" customHeight="1">
      <c r="J230" s="33"/>
    </row>
    <row r="231" ht="15.75" customHeight="1">
      <c r="J231" s="33"/>
    </row>
    <row r="232" ht="15.75" customHeight="1">
      <c r="J232" s="33"/>
    </row>
    <row r="233" ht="15.75" customHeight="1">
      <c r="J233" s="33"/>
    </row>
    <row r="234" ht="15.75" customHeight="1">
      <c r="J234" s="33"/>
    </row>
    <row r="235" ht="15.75" customHeight="1">
      <c r="J235" s="33"/>
    </row>
    <row r="236" ht="15.75" customHeight="1">
      <c r="J236" s="33"/>
    </row>
    <row r="237" ht="15.75" customHeight="1">
      <c r="J237" s="33"/>
    </row>
    <row r="238" ht="15.75" customHeight="1">
      <c r="J238" s="33"/>
    </row>
    <row r="239" ht="15.75" customHeight="1">
      <c r="J239" s="33"/>
    </row>
    <row r="240" ht="15.75" customHeight="1">
      <c r="J240" s="33"/>
    </row>
    <row r="241" ht="15.75" customHeight="1">
      <c r="J241" s="33"/>
    </row>
    <row r="242" ht="15.75" customHeight="1">
      <c r="J242" s="33"/>
    </row>
    <row r="243" ht="15.75" customHeight="1">
      <c r="J243" s="33"/>
    </row>
    <row r="244" ht="15.75" customHeight="1">
      <c r="J244" s="33"/>
    </row>
    <row r="245" ht="15.75" customHeight="1">
      <c r="J245" s="33"/>
    </row>
    <row r="246" ht="15.75" customHeight="1">
      <c r="J246" s="33"/>
    </row>
    <row r="247" ht="15.75" customHeight="1">
      <c r="J247" s="33"/>
    </row>
    <row r="248" ht="15.75" customHeight="1">
      <c r="J248" s="33"/>
    </row>
    <row r="249" ht="15.75" customHeight="1">
      <c r="J249" s="33"/>
    </row>
    <row r="250" ht="15.75" customHeight="1">
      <c r="J250" s="33"/>
    </row>
    <row r="251" ht="15.75" customHeight="1">
      <c r="J251" s="33"/>
    </row>
    <row r="252" ht="15.75" customHeight="1">
      <c r="J252" s="33"/>
    </row>
    <row r="253" ht="15.75" customHeight="1">
      <c r="J253" s="33"/>
    </row>
    <row r="254" ht="15.75" customHeight="1">
      <c r="J254" s="33"/>
    </row>
    <row r="255" ht="15.75" customHeight="1">
      <c r="J255" s="33"/>
    </row>
    <row r="256" ht="15.75" customHeight="1">
      <c r="J256" s="33"/>
    </row>
    <row r="257" ht="15.75" customHeight="1">
      <c r="J257" s="33"/>
    </row>
    <row r="258" ht="15.75" customHeight="1">
      <c r="J258" s="33"/>
    </row>
    <row r="259" ht="15.75" customHeight="1">
      <c r="J259" s="33"/>
    </row>
    <row r="260" ht="15.75" customHeight="1">
      <c r="J260" s="33"/>
    </row>
    <row r="261" ht="15.75" customHeight="1">
      <c r="J261" s="33"/>
    </row>
    <row r="262" ht="15.75" customHeight="1">
      <c r="J262" s="33"/>
    </row>
    <row r="263" ht="15.75" customHeight="1">
      <c r="J263" s="33"/>
    </row>
    <row r="264" ht="15.75" customHeight="1">
      <c r="J264" s="33"/>
    </row>
    <row r="265" ht="15.75" customHeight="1">
      <c r="J265" s="33"/>
    </row>
    <row r="266" ht="15.75" customHeight="1">
      <c r="J266" s="33"/>
    </row>
    <row r="267" ht="15.75" customHeight="1">
      <c r="J267" s="33"/>
    </row>
    <row r="268" ht="15.75" customHeight="1">
      <c r="J268" s="33"/>
    </row>
    <row r="269" ht="15.75" customHeight="1">
      <c r="J269" s="33"/>
    </row>
    <row r="270" ht="15.75" customHeight="1">
      <c r="J270" s="33"/>
    </row>
    <row r="271" ht="15.75" customHeight="1">
      <c r="J271" s="33"/>
    </row>
    <row r="272" ht="15.75" customHeight="1">
      <c r="J272" s="33"/>
    </row>
    <row r="273" ht="15.75" customHeight="1">
      <c r="J273" s="33"/>
    </row>
    <row r="274" ht="15.75" customHeight="1">
      <c r="J274" s="33"/>
    </row>
    <row r="275" ht="15.75" customHeight="1">
      <c r="J275" s="33"/>
    </row>
    <row r="276" ht="15.75" customHeight="1">
      <c r="J276" s="33"/>
    </row>
    <row r="277" ht="15.75" customHeight="1">
      <c r="J277" s="33"/>
    </row>
    <row r="278" ht="15.75" customHeight="1">
      <c r="J278" s="33"/>
    </row>
    <row r="279" ht="15.75" customHeight="1">
      <c r="J279" s="33"/>
    </row>
    <row r="280" ht="15.75" customHeight="1">
      <c r="J280" s="33"/>
    </row>
    <row r="281" ht="15.75" customHeight="1">
      <c r="J281" s="33"/>
    </row>
    <row r="282" ht="15.75" customHeight="1">
      <c r="J282" s="33"/>
    </row>
    <row r="283" ht="15.75" customHeight="1">
      <c r="J283" s="33"/>
    </row>
    <row r="284" ht="15.75" customHeight="1">
      <c r="J284" s="33"/>
    </row>
    <row r="285" ht="15.75" customHeight="1">
      <c r="J285" s="33"/>
    </row>
    <row r="286" ht="15.75" customHeight="1">
      <c r="J286" s="33"/>
    </row>
    <row r="287" ht="15.75" customHeight="1">
      <c r="J287" s="33"/>
    </row>
    <row r="288" ht="15.75" customHeight="1">
      <c r="J288" s="33"/>
    </row>
    <row r="289" ht="15.75" customHeight="1">
      <c r="J289" s="33"/>
    </row>
    <row r="290" ht="15.75" customHeight="1">
      <c r="J290" s="33"/>
    </row>
    <row r="291" ht="15.75" customHeight="1">
      <c r="J291" s="33"/>
    </row>
    <row r="292" ht="15.75" customHeight="1">
      <c r="J292" s="33"/>
    </row>
    <row r="293" ht="15.75" customHeight="1">
      <c r="J293" s="33"/>
    </row>
    <row r="294" ht="15.75" customHeight="1">
      <c r="J294" s="33"/>
    </row>
    <row r="295" ht="15.75" customHeight="1">
      <c r="J295" s="33"/>
    </row>
    <row r="296" ht="15.75" customHeight="1">
      <c r="J296" s="33"/>
    </row>
    <row r="297" ht="15.75" customHeight="1">
      <c r="J297" s="33"/>
    </row>
    <row r="298" ht="15.75" customHeight="1">
      <c r="J298" s="33"/>
    </row>
    <row r="299" ht="15.75" customHeight="1">
      <c r="J299" s="33"/>
    </row>
    <row r="300" ht="15.75" customHeight="1">
      <c r="J300" s="33"/>
    </row>
    <row r="301" ht="15.75" customHeight="1">
      <c r="J301" s="33"/>
    </row>
    <row r="302" ht="15.75" customHeight="1">
      <c r="J302" s="33"/>
    </row>
    <row r="303" ht="15.75" customHeight="1">
      <c r="J303" s="33"/>
    </row>
    <row r="304" ht="15.75" customHeight="1">
      <c r="J304" s="33"/>
    </row>
    <row r="305" ht="15.75" customHeight="1">
      <c r="J305" s="33"/>
    </row>
    <row r="306" ht="15.75" customHeight="1">
      <c r="J306" s="33"/>
    </row>
    <row r="307" ht="15.75" customHeight="1">
      <c r="J307" s="33"/>
    </row>
    <row r="308" ht="15.75" customHeight="1">
      <c r="J308" s="33"/>
    </row>
    <row r="309" ht="15.75" customHeight="1">
      <c r="J309" s="33"/>
    </row>
    <row r="310" ht="15.75" customHeight="1">
      <c r="J310" s="33"/>
    </row>
    <row r="311" ht="15.75" customHeight="1">
      <c r="J311" s="33"/>
    </row>
    <row r="312" ht="15.75" customHeight="1">
      <c r="J312" s="33"/>
    </row>
    <row r="313" ht="15.75" customHeight="1">
      <c r="J313" s="33"/>
    </row>
    <row r="314" ht="15.75" customHeight="1">
      <c r="J314" s="33"/>
    </row>
    <row r="315" ht="15.75" customHeight="1">
      <c r="J315" s="33"/>
    </row>
    <row r="316" ht="15.75" customHeight="1">
      <c r="J316" s="33"/>
    </row>
    <row r="317" ht="15.75" customHeight="1">
      <c r="J317" s="33"/>
    </row>
    <row r="318" ht="15.75" customHeight="1">
      <c r="J318" s="33"/>
    </row>
    <row r="319" ht="15.75" customHeight="1">
      <c r="J319" s="33"/>
    </row>
    <row r="320" ht="15.75" customHeight="1">
      <c r="J320" s="33"/>
    </row>
    <row r="321" ht="15.75" customHeight="1">
      <c r="J321" s="33"/>
    </row>
    <row r="322" ht="15.75" customHeight="1">
      <c r="J322" s="33"/>
    </row>
    <row r="323" ht="15.75" customHeight="1">
      <c r="J323" s="33"/>
    </row>
    <row r="324" ht="15.75" customHeight="1">
      <c r="J324" s="33"/>
    </row>
    <row r="325" ht="15.75" customHeight="1">
      <c r="J325" s="33"/>
    </row>
    <row r="326" ht="15.75" customHeight="1">
      <c r="J326" s="33"/>
    </row>
    <row r="327" ht="15.75" customHeight="1">
      <c r="J327" s="33"/>
    </row>
    <row r="328" ht="15.75" customHeight="1">
      <c r="J328" s="33"/>
    </row>
    <row r="329" ht="15.75" customHeight="1">
      <c r="J329" s="33"/>
    </row>
    <row r="330" ht="15.75" customHeight="1">
      <c r="J330" s="33"/>
    </row>
    <row r="331" ht="15.75" customHeight="1">
      <c r="J331" s="33"/>
    </row>
    <row r="332" ht="15.75" customHeight="1">
      <c r="J332" s="33"/>
    </row>
    <row r="333" ht="15.75" customHeight="1">
      <c r="J333" s="33"/>
    </row>
    <row r="334" ht="15.75" customHeight="1">
      <c r="J334" s="33"/>
    </row>
    <row r="335" ht="15.75" customHeight="1">
      <c r="J335" s="33"/>
    </row>
    <row r="336" ht="15.75" customHeight="1">
      <c r="J336" s="33"/>
    </row>
    <row r="337" ht="15.75" customHeight="1">
      <c r="J337" s="33"/>
    </row>
    <row r="338" ht="15.75" customHeight="1">
      <c r="J338" s="33"/>
    </row>
    <row r="339" ht="15.75" customHeight="1">
      <c r="J339" s="33"/>
    </row>
    <row r="340" ht="15.75" customHeight="1">
      <c r="J340" s="33"/>
    </row>
    <row r="341" ht="15.75" customHeight="1">
      <c r="J341" s="33"/>
    </row>
    <row r="342" ht="15.75" customHeight="1">
      <c r="J342" s="33"/>
    </row>
    <row r="343" ht="15.75" customHeight="1">
      <c r="J343" s="33"/>
    </row>
    <row r="344" ht="15.75" customHeight="1">
      <c r="J344" s="33"/>
    </row>
    <row r="345" ht="15.75" customHeight="1">
      <c r="J345" s="33"/>
    </row>
    <row r="346" ht="15.75" customHeight="1">
      <c r="J346" s="33"/>
    </row>
    <row r="347" ht="15.75" customHeight="1">
      <c r="J347" s="33"/>
    </row>
    <row r="348" ht="15.75" customHeight="1">
      <c r="J348" s="33"/>
    </row>
    <row r="349" ht="15.75" customHeight="1">
      <c r="J349" s="33"/>
    </row>
    <row r="350" ht="15.75" customHeight="1">
      <c r="J350" s="33"/>
    </row>
    <row r="351" ht="15.75" customHeight="1">
      <c r="J351" s="33"/>
    </row>
    <row r="352" ht="15.75" customHeight="1">
      <c r="J352" s="33"/>
    </row>
    <row r="353" ht="15.75" customHeight="1">
      <c r="J353" s="33"/>
    </row>
    <row r="354" ht="15.75" customHeight="1">
      <c r="J354" s="33"/>
    </row>
    <row r="355" ht="15.75" customHeight="1">
      <c r="J355" s="33"/>
    </row>
    <row r="356" ht="15.75" customHeight="1">
      <c r="J356" s="33"/>
    </row>
    <row r="357" ht="15.75" customHeight="1">
      <c r="J357" s="33"/>
    </row>
    <row r="358" ht="15.75" customHeight="1">
      <c r="J358" s="33"/>
    </row>
    <row r="359" ht="15.75" customHeight="1">
      <c r="J359" s="33"/>
    </row>
    <row r="360" ht="15.75" customHeight="1">
      <c r="J360" s="33"/>
    </row>
    <row r="361" ht="15.75" customHeight="1">
      <c r="J361" s="33"/>
    </row>
    <row r="362" ht="15.75" customHeight="1">
      <c r="J362" s="33"/>
    </row>
    <row r="363" ht="15.75" customHeight="1">
      <c r="J363" s="33"/>
    </row>
    <row r="364" ht="15.75" customHeight="1">
      <c r="J364" s="33"/>
    </row>
    <row r="365" ht="15.75" customHeight="1">
      <c r="J365" s="33"/>
    </row>
    <row r="366" ht="15.75" customHeight="1">
      <c r="J366" s="33"/>
    </row>
    <row r="367" ht="15.75" customHeight="1">
      <c r="J367" s="33"/>
    </row>
    <row r="368" ht="15.75" customHeight="1">
      <c r="J368" s="33"/>
    </row>
    <row r="369" ht="15.75" customHeight="1">
      <c r="J369" s="33"/>
    </row>
    <row r="370" ht="15.75" customHeight="1">
      <c r="J370" s="33"/>
    </row>
    <row r="371" ht="15.75" customHeight="1">
      <c r="J371" s="33"/>
    </row>
    <row r="372" ht="15.75" customHeight="1">
      <c r="J372" s="33"/>
    </row>
    <row r="373" ht="15.75" customHeight="1">
      <c r="J373" s="33"/>
    </row>
    <row r="374" ht="15.75" customHeight="1">
      <c r="J374" s="33"/>
    </row>
    <row r="375" ht="15.75" customHeight="1">
      <c r="J375" s="33"/>
    </row>
    <row r="376" ht="15.75" customHeight="1">
      <c r="J376" s="33"/>
    </row>
    <row r="377" ht="15.75" customHeight="1">
      <c r="J377" s="33"/>
    </row>
    <row r="378" ht="15.75" customHeight="1">
      <c r="J378" s="33"/>
    </row>
    <row r="379" ht="15.75" customHeight="1">
      <c r="J379" s="33"/>
    </row>
    <row r="380" ht="15.75" customHeight="1">
      <c r="J380" s="33"/>
    </row>
    <row r="381" ht="15.75" customHeight="1">
      <c r="J381" s="33"/>
    </row>
    <row r="382" ht="15.75" customHeight="1">
      <c r="J382" s="33"/>
    </row>
    <row r="383" ht="15.75" customHeight="1">
      <c r="J383" s="33"/>
    </row>
    <row r="384" ht="15.75" customHeight="1">
      <c r="J384" s="33"/>
    </row>
    <row r="385" ht="15.75" customHeight="1">
      <c r="J385" s="33"/>
    </row>
    <row r="386" ht="15.75" customHeight="1">
      <c r="J386" s="33"/>
    </row>
    <row r="387" ht="15.75" customHeight="1">
      <c r="J387" s="33"/>
    </row>
    <row r="388" ht="15.75" customHeight="1">
      <c r="J388" s="33"/>
    </row>
    <row r="389" ht="15.75" customHeight="1">
      <c r="J389" s="33"/>
    </row>
    <row r="390" ht="15.75" customHeight="1">
      <c r="J390" s="33"/>
    </row>
    <row r="391" ht="15.75" customHeight="1">
      <c r="J391" s="33"/>
    </row>
    <row r="392" ht="15.75" customHeight="1">
      <c r="J392" s="33"/>
    </row>
    <row r="393" ht="15.75" customHeight="1">
      <c r="J393" s="33"/>
    </row>
    <row r="394" ht="15.75" customHeight="1">
      <c r="J394" s="33"/>
    </row>
    <row r="395" ht="15.75" customHeight="1">
      <c r="J395" s="33"/>
    </row>
    <row r="396" ht="15.75" customHeight="1">
      <c r="J396" s="33"/>
    </row>
    <row r="397" ht="15.75" customHeight="1">
      <c r="J397" s="33"/>
    </row>
    <row r="398" ht="15.75" customHeight="1">
      <c r="J398" s="33"/>
    </row>
    <row r="399" ht="15.75" customHeight="1">
      <c r="J399" s="33"/>
    </row>
    <row r="400" ht="15.75" customHeight="1">
      <c r="J400" s="33"/>
    </row>
    <row r="401" ht="15.75" customHeight="1">
      <c r="J401" s="33"/>
    </row>
    <row r="402" ht="15.75" customHeight="1">
      <c r="J402" s="33"/>
    </row>
    <row r="403" ht="15.75" customHeight="1">
      <c r="J403" s="33"/>
    </row>
    <row r="404" ht="15.75" customHeight="1">
      <c r="J404" s="33"/>
    </row>
    <row r="405" ht="15.75" customHeight="1">
      <c r="J405" s="33"/>
    </row>
    <row r="406" ht="15.75" customHeight="1">
      <c r="J406" s="33"/>
    </row>
    <row r="407" ht="15.75" customHeight="1">
      <c r="J407" s="33"/>
    </row>
    <row r="408" ht="15.75" customHeight="1">
      <c r="J408" s="33"/>
    </row>
    <row r="409" ht="15.75" customHeight="1">
      <c r="J409" s="33"/>
    </row>
    <row r="410" ht="15.75" customHeight="1">
      <c r="J410" s="33"/>
    </row>
    <row r="411" ht="15.75" customHeight="1">
      <c r="J411" s="33"/>
    </row>
    <row r="412" ht="15.75" customHeight="1">
      <c r="J412" s="33"/>
    </row>
    <row r="413" ht="15.75" customHeight="1">
      <c r="J413" s="33"/>
    </row>
    <row r="414" ht="15.75" customHeight="1">
      <c r="J414" s="33"/>
    </row>
    <row r="415" ht="15.75" customHeight="1">
      <c r="J415" s="33"/>
    </row>
    <row r="416" ht="15.75" customHeight="1">
      <c r="J416" s="33"/>
    </row>
    <row r="417" ht="15.75" customHeight="1">
      <c r="J417" s="33"/>
    </row>
    <row r="418" ht="15.75" customHeight="1">
      <c r="J418" s="33"/>
    </row>
    <row r="419" ht="15.75" customHeight="1">
      <c r="J419" s="33"/>
    </row>
    <row r="420" ht="15.75" customHeight="1">
      <c r="J420" s="33"/>
    </row>
    <row r="421" ht="15.75" customHeight="1">
      <c r="J421" s="33"/>
    </row>
    <row r="422" ht="15.75" customHeight="1">
      <c r="J422" s="33"/>
    </row>
    <row r="423" ht="15.75" customHeight="1">
      <c r="J423" s="33"/>
    </row>
    <row r="424" ht="15.75" customHeight="1">
      <c r="J424" s="33"/>
    </row>
    <row r="425" ht="15.75" customHeight="1">
      <c r="J425" s="33"/>
    </row>
    <row r="426" ht="15.75" customHeight="1">
      <c r="J426" s="33"/>
    </row>
    <row r="427" ht="15.75" customHeight="1">
      <c r="J427" s="33"/>
    </row>
    <row r="428" ht="15.75" customHeight="1">
      <c r="J428" s="33"/>
    </row>
    <row r="429" ht="15.75" customHeight="1">
      <c r="J429" s="33"/>
    </row>
    <row r="430" ht="15.75" customHeight="1">
      <c r="J430" s="33"/>
    </row>
    <row r="431" ht="15.75" customHeight="1">
      <c r="J431" s="33"/>
    </row>
    <row r="432" ht="15.75" customHeight="1">
      <c r="J432" s="33"/>
    </row>
    <row r="433" ht="15.75" customHeight="1">
      <c r="J433" s="33"/>
    </row>
    <row r="434" ht="15.75" customHeight="1">
      <c r="J434" s="33"/>
    </row>
    <row r="435" ht="15.75" customHeight="1">
      <c r="J435" s="33"/>
    </row>
    <row r="436" ht="15.75" customHeight="1">
      <c r="J436" s="33"/>
    </row>
    <row r="437" ht="15.75" customHeight="1">
      <c r="J437" s="33"/>
    </row>
    <row r="438" ht="15.75" customHeight="1">
      <c r="J438" s="33"/>
    </row>
    <row r="439" ht="15.75" customHeight="1">
      <c r="J439" s="33"/>
    </row>
    <row r="440" ht="15.75" customHeight="1">
      <c r="J440" s="33"/>
    </row>
    <row r="441" ht="15.75" customHeight="1">
      <c r="J441" s="33"/>
    </row>
    <row r="442" ht="15.75" customHeight="1">
      <c r="J442" s="33"/>
    </row>
    <row r="443" ht="15.75" customHeight="1">
      <c r="J443" s="33"/>
    </row>
    <row r="444" ht="15.75" customHeight="1">
      <c r="J444" s="33"/>
    </row>
    <row r="445" ht="15.75" customHeight="1">
      <c r="J445" s="33"/>
    </row>
    <row r="446" ht="15.75" customHeight="1">
      <c r="J446" s="33"/>
    </row>
    <row r="447" ht="15.75" customHeight="1">
      <c r="J447" s="33"/>
    </row>
    <row r="448" ht="15.75" customHeight="1">
      <c r="J448" s="33"/>
    </row>
    <row r="449" ht="15.75" customHeight="1">
      <c r="J449" s="33"/>
    </row>
    <row r="450" ht="15.75" customHeight="1">
      <c r="J450" s="33"/>
    </row>
    <row r="451" ht="15.75" customHeight="1">
      <c r="J451" s="33"/>
    </row>
    <row r="452" ht="15.75" customHeight="1">
      <c r="J452" s="33"/>
    </row>
    <row r="453" ht="15.75" customHeight="1">
      <c r="J453" s="33"/>
    </row>
    <row r="454" ht="15.75" customHeight="1">
      <c r="J454" s="33"/>
    </row>
    <row r="455" ht="15.75" customHeight="1">
      <c r="J455" s="33"/>
    </row>
    <row r="456" ht="15.75" customHeight="1">
      <c r="J456" s="33"/>
    </row>
    <row r="457" ht="15.75" customHeight="1">
      <c r="J457" s="33"/>
    </row>
    <row r="458" ht="15.75" customHeight="1">
      <c r="J458" s="33"/>
    </row>
    <row r="459" ht="15.75" customHeight="1">
      <c r="J459" s="33"/>
    </row>
    <row r="460" ht="15.75" customHeight="1">
      <c r="J460" s="33"/>
    </row>
    <row r="461" ht="15.75" customHeight="1">
      <c r="J461" s="33"/>
    </row>
    <row r="462" ht="15.75" customHeight="1">
      <c r="J462" s="33"/>
    </row>
    <row r="463" ht="15.75" customHeight="1">
      <c r="J463" s="33"/>
    </row>
    <row r="464" ht="15.75" customHeight="1">
      <c r="J464" s="33"/>
    </row>
    <row r="465" ht="15.75" customHeight="1">
      <c r="J465" s="33"/>
    </row>
    <row r="466" ht="15.75" customHeight="1">
      <c r="J466" s="33"/>
    </row>
    <row r="467" ht="15.75" customHeight="1">
      <c r="J467" s="33"/>
    </row>
    <row r="468" ht="15.75" customHeight="1">
      <c r="J468" s="33"/>
    </row>
    <row r="469" ht="15.75" customHeight="1">
      <c r="J469" s="33"/>
    </row>
    <row r="470" ht="15.75" customHeight="1">
      <c r="J470" s="33"/>
    </row>
    <row r="471" ht="15.75" customHeight="1">
      <c r="J471" s="33"/>
    </row>
    <row r="472" ht="15.75" customHeight="1">
      <c r="J472" s="33"/>
    </row>
    <row r="473" ht="15.75" customHeight="1">
      <c r="J473" s="33"/>
    </row>
    <row r="474" ht="15.75" customHeight="1">
      <c r="J474" s="33"/>
    </row>
    <row r="475" ht="15.75" customHeight="1">
      <c r="J475" s="33"/>
    </row>
    <row r="476" ht="15.75" customHeight="1">
      <c r="J476" s="33"/>
    </row>
    <row r="477" ht="15.75" customHeight="1">
      <c r="J477" s="33"/>
    </row>
    <row r="478" ht="15.75" customHeight="1">
      <c r="J478" s="33"/>
    </row>
    <row r="479" ht="15.75" customHeight="1">
      <c r="J479" s="33"/>
    </row>
    <row r="480" ht="15.75" customHeight="1">
      <c r="J480" s="33"/>
    </row>
    <row r="481" ht="15.75" customHeight="1">
      <c r="J481" s="33"/>
    </row>
    <row r="482" ht="15.75" customHeight="1">
      <c r="J482" s="33"/>
    </row>
    <row r="483" ht="15.75" customHeight="1">
      <c r="J483" s="33"/>
    </row>
    <row r="484" ht="15.75" customHeight="1">
      <c r="J484" s="33"/>
    </row>
    <row r="485" ht="15.75" customHeight="1">
      <c r="J485" s="33"/>
    </row>
    <row r="486" ht="15.75" customHeight="1">
      <c r="J486" s="33"/>
    </row>
    <row r="487" ht="15.75" customHeight="1">
      <c r="J487" s="33"/>
    </row>
    <row r="488" ht="15.75" customHeight="1">
      <c r="J488" s="33"/>
    </row>
    <row r="489" ht="15.75" customHeight="1">
      <c r="J489" s="33"/>
    </row>
    <row r="490" ht="15.75" customHeight="1">
      <c r="J490" s="33"/>
    </row>
    <row r="491" ht="15.75" customHeight="1">
      <c r="J491" s="33"/>
    </row>
    <row r="492" ht="15.75" customHeight="1">
      <c r="J492" s="33"/>
    </row>
    <row r="493" ht="15.75" customHeight="1">
      <c r="J493" s="33"/>
    </row>
    <row r="494" ht="15.75" customHeight="1">
      <c r="J494" s="33"/>
    </row>
    <row r="495" ht="15.75" customHeight="1">
      <c r="J495" s="33"/>
    </row>
    <row r="496" ht="15.75" customHeight="1">
      <c r="J496" s="33"/>
    </row>
    <row r="497" ht="15.75" customHeight="1">
      <c r="J497" s="33"/>
    </row>
    <row r="498" ht="15.75" customHeight="1">
      <c r="J498" s="33"/>
    </row>
    <row r="499" ht="15.75" customHeight="1">
      <c r="J499" s="33"/>
    </row>
    <row r="500" ht="15.75" customHeight="1">
      <c r="J500" s="33"/>
    </row>
    <row r="501" ht="15.75" customHeight="1">
      <c r="J501" s="33"/>
    </row>
    <row r="502" ht="15.75" customHeight="1">
      <c r="J502" s="33"/>
    </row>
    <row r="503" ht="15.75" customHeight="1">
      <c r="J503" s="33"/>
    </row>
    <row r="504" ht="15.75" customHeight="1">
      <c r="J504" s="33"/>
    </row>
    <row r="505" ht="15.75" customHeight="1">
      <c r="J505" s="33"/>
    </row>
    <row r="506" ht="15.75" customHeight="1">
      <c r="J506" s="33"/>
    </row>
    <row r="507" ht="15.75" customHeight="1">
      <c r="J507" s="33"/>
    </row>
    <row r="508" ht="15.75" customHeight="1">
      <c r="J508" s="33"/>
    </row>
    <row r="509" ht="15.75" customHeight="1">
      <c r="J509" s="33"/>
    </row>
    <row r="510" ht="15.75" customHeight="1">
      <c r="J510" s="33"/>
    </row>
    <row r="511" ht="15.75" customHeight="1">
      <c r="J511" s="33"/>
    </row>
    <row r="512" ht="15.75" customHeight="1">
      <c r="J512" s="33"/>
    </row>
    <row r="513" ht="15.75" customHeight="1">
      <c r="J513" s="33"/>
    </row>
    <row r="514" ht="15.75" customHeight="1">
      <c r="J514" s="33"/>
    </row>
    <row r="515" ht="15.75" customHeight="1">
      <c r="J515" s="33"/>
    </row>
    <row r="516" ht="15.75" customHeight="1">
      <c r="J516" s="33"/>
    </row>
    <row r="517" ht="15.75" customHeight="1">
      <c r="J517" s="33"/>
    </row>
    <row r="518" ht="15.75" customHeight="1">
      <c r="J518" s="33"/>
    </row>
    <row r="519" ht="15.75" customHeight="1">
      <c r="J519" s="33"/>
    </row>
    <row r="520" ht="15.75" customHeight="1">
      <c r="J520" s="33"/>
    </row>
    <row r="521" ht="15.75" customHeight="1">
      <c r="J521" s="33"/>
    </row>
    <row r="522" ht="15.75" customHeight="1">
      <c r="J522" s="33"/>
    </row>
    <row r="523" ht="15.75" customHeight="1">
      <c r="J523" s="33"/>
    </row>
    <row r="524" ht="15.75" customHeight="1">
      <c r="J524" s="33"/>
    </row>
    <row r="525" ht="15.75" customHeight="1">
      <c r="J525" s="33"/>
    </row>
    <row r="526" ht="15.75" customHeight="1">
      <c r="J526" s="33"/>
    </row>
    <row r="527" ht="15.75" customHeight="1">
      <c r="J527" s="33"/>
    </row>
    <row r="528" ht="15.75" customHeight="1">
      <c r="J528" s="33"/>
    </row>
    <row r="529" ht="15.75" customHeight="1">
      <c r="J529" s="33"/>
    </row>
    <row r="530" ht="15.75" customHeight="1">
      <c r="J530" s="33"/>
    </row>
    <row r="531" ht="15.75" customHeight="1">
      <c r="J531" s="33"/>
    </row>
    <row r="532" ht="15.75" customHeight="1">
      <c r="J532" s="33"/>
    </row>
    <row r="533" ht="15.75" customHeight="1">
      <c r="J533" s="33"/>
    </row>
    <row r="534" ht="15.75" customHeight="1">
      <c r="J534" s="33"/>
    </row>
    <row r="535" ht="15.75" customHeight="1">
      <c r="J535" s="33"/>
    </row>
    <row r="536" ht="15.75" customHeight="1">
      <c r="J536" s="33"/>
    </row>
    <row r="537" ht="15.75" customHeight="1">
      <c r="J537" s="33"/>
    </row>
    <row r="538" ht="15.75" customHeight="1">
      <c r="J538" s="33"/>
    </row>
    <row r="539" ht="15.75" customHeight="1">
      <c r="J539" s="33"/>
    </row>
    <row r="540" ht="15.75" customHeight="1">
      <c r="J540" s="33"/>
    </row>
    <row r="541" ht="15.75" customHeight="1">
      <c r="J541" s="33"/>
    </row>
    <row r="542" ht="15.75" customHeight="1">
      <c r="J542" s="33"/>
    </row>
    <row r="543" ht="15.75" customHeight="1">
      <c r="J543" s="33"/>
    </row>
    <row r="544" ht="15.75" customHeight="1">
      <c r="J544" s="33"/>
    </row>
    <row r="545" ht="15.75" customHeight="1">
      <c r="J545" s="33"/>
    </row>
    <row r="546" ht="15.75" customHeight="1">
      <c r="J546" s="33"/>
    </row>
    <row r="547" ht="15.75" customHeight="1">
      <c r="J547" s="33"/>
    </row>
    <row r="548" ht="15.75" customHeight="1">
      <c r="J548" s="33"/>
    </row>
    <row r="549" ht="15.75" customHeight="1">
      <c r="J549" s="33"/>
    </row>
    <row r="550" ht="15.75" customHeight="1">
      <c r="J550" s="33"/>
    </row>
    <row r="551" ht="15.75" customHeight="1">
      <c r="J551" s="33"/>
    </row>
    <row r="552" ht="15.75" customHeight="1">
      <c r="J552" s="33"/>
    </row>
    <row r="553" ht="15.75" customHeight="1">
      <c r="J553" s="33"/>
    </row>
    <row r="554" ht="15.75" customHeight="1">
      <c r="J554" s="33"/>
    </row>
    <row r="555" ht="15.75" customHeight="1">
      <c r="J555" s="33"/>
    </row>
    <row r="556" ht="15.75" customHeight="1">
      <c r="J556" s="33"/>
    </row>
    <row r="557" ht="15.75" customHeight="1">
      <c r="J557" s="33"/>
    </row>
    <row r="558" ht="15.75" customHeight="1">
      <c r="J558" s="33"/>
    </row>
    <row r="559" ht="15.75" customHeight="1">
      <c r="J559" s="33"/>
    </row>
    <row r="560" ht="15.75" customHeight="1">
      <c r="J560" s="33"/>
    </row>
    <row r="561" ht="15.75" customHeight="1">
      <c r="J561" s="33"/>
    </row>
    <row r="562" ht="15.75" customHeight="1">
      <c r="J562" s="33"/>
    </row>
    <row r="563" ht="15.75" customHeight="1">
      <c r="J563" s="33"/>
    </row>
    <row r="564" ht="15.75" customHeight="1">
      <c r="J564" s="33"/>
    </row>
    <row r="565" ht="15.75" customHeight="1">
      <c r="J565" s="33"/>
    </row>
    <row r="566" ht="15.75" customHeight="1">
      <c r="J566" s="33"/>
    </row>
    <row r="567" ht="15.75" customHeight="1">
      <c r="J567" s="33"/>
    </row>
    <row r="568" ht="15.75" customHeight="1">
      <c r="J568" s="33"/>
    </row>
    <row r="569" ht="15.75" customHeight="1">
      <c r="J569" s="33"/>
    </row>
    <row r="570" ht="15.75" customHeight="1">
      <c r="J570" s="33"/>
    </row>
    <row r="571" ht="15.75" customHeight="1">
      <c r="J571" s="33"/>
    </row>
    <row r="572" ht="15.75" customHeight="1">
      <c r="J572" s="33"/>
    </row>
    <row r="573" ht="15.75" customHeight="1">
      <c r="J573" s="33"/>
    </row>
    <row r="574" ht="15.75" customHeight="1">
      <c r="J574" s="33"/>
    </row>
    <row r="575" ht="15.75" customHeight="1">
      <c r="J575" s="33"/>
    </row>
    <row r="576" ht="15.75" customHeight="1">
      <c r="J576" s="33"/>
    </row>
    <row r="577" ht="15.75" customHeight="1">
      <c r="J577" s="33"/>
    </row>
    <row r="578" ht="15.75" customHeight="1">
      <c r="J578" s="33"/>
    </row>
    <row r="579" ht="15.75" customHeight="1">
      <c r="J579" s="33"/>
    </row>
    <row r="580" ht="15.75" customHeight="1">
      <c r="J580" s="33"/>
    </row>
    <row r="581" ht="15.75" customHeight="1">
      <c r="J581" s="33"/>
    </row>
    <row r="582" ht="15.75" customHeight="1">
      <c r="J582" s="33"/>
    </row>
    <row r="583" ht="15.75" customHeight="1">
      <c r="J583" s="33"/>
    </row>
    <row r="584" ht="15.75" customHeight="1">
      <c r="J584" s="33"/>
    </row>
    <row r="585" ht="15.75" customHeight="1">
      <c r="J585" s="33"/>
    </row>
    <row r="586" ht="15.75" customHeight="1">
      <c r="J586" s="33"/>
    </row>
    <row r="587" ht="15.75" customHeight="1">
      <c r="J587" s="33"/>
    </row>
    <row r="588" ht="15.75" customHeight="1">
      <c r="J588" s="33"/>
    </row>
    <row r="589" ht="15.75" customHeight="1">
      <c r="J589" s="33"/>
    </row>
    <row r="590" ht="15.75" customHeight="1">
      <c r="J590" s="33"/>
    </row>
    <row r="591" ht="15.75" customHeight="1">
      <c r="J591" s="33"/>
    </row>
    <row r="592" ht="15.75" customHeight="1">
      <c r="J592" s="33"/>
    </row>
    <row r="593" ht="15.75" customHeight="1">
      <c r="J593" s="33"/>
    </row>
    <row r="594" ht="15.75" customHeight="1">
      <c r="J594" s="33"/>
    </row>
    <row r="595" ht="15.75" customHeight="1">
      <c r="J595" s="33"/>
    </row>
    <row r="596" ht="15.75" customHeight="1">
      <c r="J596" s="33"/>
    </row>
    <row r="597" ht="15.75" customHeight="1">
      <c r="J597" s="33"/>
    </row>
    <row r="598" ht="15.75" customHeight="1">
      <c r="J598" s="33"/>
    </row>
    <row r="599" ht="15.75" customHeight="1">
      <c r="J599" s="33"/>
    </row>
    <row r="600" ht="15.75" customHeight="1">
      <c r="J600" s="33"/>
    </row>
    <row r="601" ht="15.75" customHeight="1">
      <c r="J601" s="33"/>
    </row>
    <row r="602" ht="15.75" customHeight="1">
      <c r="J602" s="33"/>
    </row>
    <row r="603" ht="15.75" customHeight="1">
      <c r="J603" s="33"/>
    </row>
    <row r="604" ht="15.75" customHeight="1">
      <c r="J604" s="33"/>
    </row>
    <row r="605" ht="15.75" customHeight="1">
      <c r="J605" s="33"/>
    </row>
    <row r="606" ht="15.75" customHeight="1">
      <c r="J606" s="33"/>
    </row>
    <row r="607" ht="15.75" customHeight="1">
      <c r="J607" s="33"/>
    </row>
    <row r="608" ht="15.75" customHeight="1">
      <c r="J608" s="33"/>
    </row>
    <row r="609" ht="15.75" customHeight="1">
      <c r="J609" s="33"/>
    </row>
    <row r="610" ht="15.75" customHeight="1">
      <c r="J610" s="33"/>
    </row>
    <row r="611" ht="15.75" customHeight="1">
      <c r="J611" s="33"/>
    </row>
    <row r="612" ht="15.75" customHeight="1">
      <c r="J612" s="33"/>
    </row>
    <row r="613" ht="15.75" customHeight="1">
      <c r="J613" s="33"/>
    </row>
    <row r="614" ht="15.75" customHeight="1">
      <c r="J614" s="33"/>
    </row>
    <row r="615" ht="15.75" customHeight="1">
      <c r="J615" s="33"/>
    </row>
    <row r="616" ht="15.75" customHeight="1">
      <c r="J616" s="33"/>
    </row>
    <row r="617" ht="15.75" customHeight="1">
      <c r="J617" s="33"/>
    </row>
    <row r="618" ht="15.75" customHeight="1">
      <c r="J618" s="33"/>
    </row>
    <row r="619" ht="15.75" customHeight="1">
      <c r="J619" s="33"/>
    </row>
    <row r="620" ht="15.75" customHeight="1">
      <c r="J620" s="33"/>
    </row>
    <row r="621" ht="15.75" customHeight="1">
      <c r="J621" s="33"/>
    </row>
    <row r="622" ht="15.75" customHeight="1">
      <c r="J622" s="33"/>
    </row>
    <row r="623" ht="15.75" customHeight="1">
      <c r="J623" s="33"/>
    </row>
    <row r="624" ht="15.75" customHeight="1">
      <c r="J624" s="33"/>
    </row>
    <row r="625" ht="15.75" customHeight="1">
      <c r="J625" s="33"/>
    </row>
    <row r="626" ht="15.75" customHeight="1">
      <c r="J626" s="33"/>
    </row>
    <row r="627" ht="15.75" customHeight="1">
      <c r="J627" s="33"/>
    </row>
    <row r="628" ht="15.75" customHeight="1">
      <c r="J628" s="33"/>
    </row>
    <row r="629" ht="15.75" customHeight="1">
      <c r="J629" s="33"/>
    </row>
    <row r="630" ht="15.75" customHeight="1">
      <c r="J630" s="33"/>
    </row>
    <row r="631" ht="15.75" customHeight="1">
      <c r="J631" s="33"/>
    </row>
    <row r="632" ht="15.75" customHeight="1">
      <c r="J632" s="33"/>
    </row>
    <row r="633" ht="15.75" customHeight="1">
      <c r="J633" s="33"/>
    </row>
    <row r="634" ht="15.75" customHeight="1">
      <c r="J634" s="33"/>
    </row>
    <row r="635" ht="15.75" customHeight="1">
      <c r="J635" s="33"/>
    </row>
    <row r="636" ht="15.75" customHeight="1">
      <c r="J636" s="33"/>
    </row>
    <row r="637" ht="15.75" customHeight="1">
      <c r="J637" s="33"/>
    </row>
    <row r="638" ht="15.75" customHeight="1">
      <c r="J638" s="33"/>
    </row>
    <row r="639" ht="15.75" customHeight="1">
      <c r="J639" s="33"/>
    </row>
    <row r="640" ht="15.75" customHeight="1">
      <c r="J640" s="33"/>
    </row>
    <row r="641" ht="15.75" customHeight="1">
      <c r="J641" s="33"/>
    </row>
    <row r="642" ht="15.75" customHeight="1">
      <c r="J642" s="33"/>
    </row>
    <row r="643" ht="15.75" customHeight="1">
      <c r="J643" s="33"/>
    </row>
    <row r="644" ht="15.75" customHeight="1">
      <c r="J644" s="33"/>
    </row>
    <row r="645" ht="15.75" customHeight="1">
      <c r="J645" s="33"/>
    </row>
    <row r="646" ht="15.75" customHeight="1">
      <c r="J646" s="33"/>
    </row>
    <row r="647" ht="15.75" customHeight="1">
      <c r="J647" s="33"/>
    </row>
    <row r="648" ht="15.75" customHeight="1">
      <c r="J648" s="33"/>
    </row>
    <row r="649" ht="15.75" customHeight="1">
      <c r="J649" s="33"/>
    </row>
    <row r="650" ht="15.75" customHeight="1">
      <c r="J650" s="33"/>
    </row>
    <row r="651" ht="15.75" customHeight="1">
      <c r="J651" s="33"/>
    </row>
    <row r="652" ht="15.75" customHeight="1">
      <c r="J652" s="33"/>
    </row>
    <row r="653" ht="15.75" customHeight="1">
      <c r="J653" s="33"/>
    </row>
    <row r="654" ht="15.75" customHeight="1">
      <c r="J654" s="33"/>
    </row>
    <row r="655" ht="15.75" customHeight="1">
      <c r="J655" s="33"/>
    </row>
    <row r="656" ht="15.75" customHeight="1">
      <c r="J656" s="33"/>
    </row>
    <row r="657" ht="15.75" customHeight="1">
      <c r="J657" s="33"/>
    </row>
    <row r="658" ht="15.75" customHeight="1">
      <c r="J658" s="33"/>
    </row>
    <row r="659" ht="15.75" customHeight="1">
      <c r="J659" s="33"/>
    </row>
    <row r="660" ht="15.75" customHeight="1">
      <c r="J660" s="33"/>
    </row>
    <row r="661" ht="15.75" customHeight="1">
      <c r="J661" s="33"/>
    </row>
    <row r="662" ht="15.75" customHeight="1">
      <c r="J662" s="33"/>
    </row>
    <row r="663" ht="15.75" customHeight="1">
      <c r="J663" s="33"/>
    </row>
    <row r="664" ht="15.75" customHeight="1">
      <c r="J664" s="33"/>
    </row>
    <row r="665" ht="15.75" customHeight="1">
      <c r="J665" s="33"/>
    </row>
    <row r="666" ht="15.75" customHeight="1">
      <c r="J666" s="33"/>
    </row>
    <row r="667" ht="15.75" customHeight="1">
      <c r="J667" s="33"/>
    </row>
    <row r="668" ht="15.75" customHeight="1">
      <c r="J668" s="33"/>
    </row>
    <row r="669" ht="15.75" customHeight="1">
      <c r="J669" s="33"/>
    </row>
    <row r="670" ht="15.75" customHeight="1">
      <c r="J670" s="33"/>
    </row>
    <row r="671" ht="15.75" customHeight="1">
      <c r="J671" s="33"/>
    </row>
    <row r="672" ht="15.75" customHeight="1">
      <c r="J672" s="33"/>
    </row>
    <row r="673" ht="15.75" customHeight="1">
      <c r="J673" s="33"/>
    </row>
    <row r="674" ht="15.75" customHeight="1">
      <c r="J674" s="33"/>
    </row>
    <row r="675" ht="15.75" customHeight="1">
      <c r="J675" s="33"/>
    </row>
    <row r="676" ht="15.75" customHeight="1">
      <c r="J676" s="33"/>
    </row>
    <row r="677" ht="15.75" customHeight="1">
      <c r="J677" s="33"/>
    </row>
    <row r="678" ht="15.75" customHeight="1">
      <c r="J678" s="33"/>
    </row>
    <row r="679" ht="15.75" customHeight="1">
      <c r="J679" s="33"/>
    </row>
    <row r="680" ht="15.75" customHeight="1">
      <c r="J680" s="33"/>
    </row>
    <row r="681" ht="15.75" customHeight="1">
      <c r="J681" s="33"/>
    </row>
    <row r="682" ht="15.75" customHeight="1">
      <c r="J682" s="33"/>
    </row>
    <row r="683" ht="15.75" customHeight="1">
      <c r="J683" s="33"/>
    </row>
    <row r="684" ht="15.75" customHeight="1">
      <c r="J684" s="33"/>
    </row>
    <row r="685" ht="15.75" customHeight="1">
      <c r="J685" s="33"/>
    </row>
    <row r="686" ht="15.75" customHeight="1">
      <c r="J686" s="33"/>
    </row>
    <row r="687" ht="15.75" customHeight="1">
      <c r="J687" s="33"/>
    </row>
    <row r="688" ht="15.75" customHeight="1">
      <c r="J688" s="33"/>
    </row>
    <row r="689" ht="15.75" customHeight="1">
      <c r="J689" s="33"/>
    </row>
    <row r="690" ht="15.75" customHeight="1">
      <c r="J690" s="33"/>
    </row>
    <row r="691" ht="15.75" customHeight="1">
      <c r="J691" s="33"/>
    </row>
    <row r="692" ht="15.75" customHeight="1">
      <c r="J692" s="33"/>
    </row>
    <row r="693" ht="15.75" customHeight="1">
      <c r="J693" s="33"/>
    </row>
    <row r="694" ht="15.75" customHeight="1">
      <c r="J694" s="33"/>
    </row>
    <row r="695" ht="15.75" customHeight="1">
      <c r="J695" s="33"/>
    </row>
    <row r="696" ht="15.75" customHeight="1">
      <c r="J696" s="33"/>
    </row>
    <row r="697" ht="15.75" customHeight="1">
      <c r="J697" s="33"/>
    </row>
    <row r="698" ht="15.75" customHeight="1">
      <c r="J698" s="33"/>
    </row>
    <row r="699" ht="15.75" customHeight="1">
      <c r="J699" s="33"/>
    </row>
    <row r="700" ht="15.75" customHeight="1">
      <c r="J700" s="33"/>
    </row>
    <row r="701" ht="15.75" customHeight="1">
      <c r="J701" s="33"/>
    </row>
    <row r="702" ht="15.75" customHeight="1">
      <c r="J702" s="33"/>
    </row>
    <row r="703" ht="15.75" customHeight="1">
      <c r="J703" s="33"/>
    </row>
    <row r="704" ht="15.75" customHeight="1">
      <c r="J704" s="33"/>
    </row>
    <row r="705" ht="15.75" customHeight="1">
      <c r="J705" s="33"/>
    </row>
    <row r="706" ht="15.75" customHeight="1">
      <c r="J706" s="33"/>
    </row>
    <row r="707" ht="15.75" customHeight="1">
      <c r="J707" s="33"/>
    </row>
    <row r="708" ht="15.75" customHeight="1">
      <c r="J708" s="33"/>
    </row>
    <row r="709" ht="15.75" customHeight="1">
      <c r="J709" s="33"/>
    </row>
    <row r="710" ht="15.75" customHeight="1">
      <c r="J710" s="33"/>
    </row>
    <row r="711" ht="15.75" customHeight="1">
      <c r="J711" s="33"/>
    </row>
    <row r="712" ht="15.75" customHeight="1">
      <c r="J712" s="33"/>
    </row>
    <row r="713" ht="15.75" customHeight="1">
      <c r="J713" s="33"/>
    </row>
    <row r="714" ht="15.75" customHeight="1">
      <c r="J714" s="33"/>
    </row>
    <row r="715" ht="15.75" customHeight="1">
      <c r="J715" s="33"/>
    </row>
    <row r="716" ht="15.75" customHeight="1">
      <c r="J716" s="33"/>
    </row>
    <row r="717" ht="15.75" customHeight="1">
      <c r="J717" s="33"/>
    </row>
    <row r="718" ht="15.75" customHeight="1">
      <c r="J718" s="33"/>
    </row>
    <row r="719" ht="15.75" customHeight="1">
      <c r="J719" s="33"/>
    </row>
    <row r="720" ht="15.75" customHeight="1">
      <c r="J720" s="33"/>
    </row>
    <row r="721" ht="15.75" customHeight="1">
      <c r="J721" s="33"/>
    </row>
    <row r="722" ht="15.75" customHeight="1">
      <c r="J722" s="33"/>
    </row>
    <row r="723" ht="15.75" customHeight="1">
      <c r="J723" s="33"/>
    </row>
    <row r="724" ht="15.75" customHeight="1">
      <c r="J724" s="33"/>
    </row>
    <row r="725" ht="15.75" customHeight="1">
      <c r="J725" s="33"/>
    </row>
    <row r="726" ht="15.75" customHeight="1">
      <c r="J726" s="33"/>
    </row>
    <row r="727" ht="15.75" customHeight="1">
      <c r="J727" s="33"/>
    </row>
    <row r="728" ht="15.75" customHeight="1">
      <c r="J728" s="33"/>
    </row>
    <row r="729" ht="15.75" customHeight="1">
      <c r="J729" s="33"/>
    </row>
    <row r="730" ht="15.75" customHeight="1">
      <c r="J730" s="33"/>
    </row>
    <row r="731" ht="15.75" customHeight="1">
      <c r="J731" s="33"/>
    </row>
    <row r="732" ht="15.75" customHeight="1">
      <c r="J732" s="33"/>
    </row>
    <row r="733" ht="15.75" customHeight="1">
      <c r="J733" s="33"/>
    </row>
    <row r="734" ht="15.75" customHeight="1">
      <c r="J734" s="33"/>
    </row>
    <row r="735" ht="15.75" customHeight="1">
      <c r="J735" s="33"/>
    </row>
    <row r="736" ht="15.75" customHeight="1">
      <c r="J736" s="33"/>
    </row>
    <row r="737" ht="15.75" customHeight="1">
      <c r="J737" s="33"/>
    </row>
    <row r="738" ht="15.75" customHeight="1">
      <c r="J738" s="33"/>
    </row>
    <row r="739" ht="15.75" customHeight="1">
      <c r="J739" s="33"/>
    </row>
    <row r="740" ht="15.75" customHeight="1">
      <c r="J740" s="33"/>
    </row>
    <row r="741" ht="15.75" customHeight="1">
      <c r="J741" s="33"/>
    </row>
    <row r="742" ht="15.75" customHeight="1">
      <c r="J742" s="33"/>
    </row>
    <row r="743" ht="15.75" customHeight="1">
      <c r="J743" s="33"/>
    </row>
    <row r="744" ht="15.75" customHeight="1">
      <c r="J744" s="33"/>
    </row>
    <row r="745" ht="15.75" customHeight="1">
      <c r="J745" s="33"/>
    </row>
    <row r="746" ht="15.75" customHeight="1">
      <c r="J746" s="33"/>
    </row>
    <row r="747" ht="15.75" customHeight="1">
      <c r="J747" s="33"/>
    </row>
    <row r="748" ht="15.75" customHeight="1">
      <c r="J748" s="33"/>
    </row>
    <row r="749" ht="15.75" customHeight="1">
      <c r="J749" s="33"/>
    </row>
    <row r="750" ht="15.75" customHeight="1">
      <c r="J750" s="33"/>
    </row>
    <row r="751" ht="15.75" customHeight="1">
      <c r="J751" s="33"/>
    </row>
    <row r="752" ht="15.75" customHeight="1">
      <c r="J752" s="33"/>
    </row>
    <row r="753" ht="15.75" customHeight="1">
      <c r="J753" s="33"/>
    </row>
    <row r="754" ht="15.75" customHeight="1">
      <c r="J754" s="33"/>
    </row>
    <row r="755" ht="15.75" customHeight="1">
      <c r="J755" s="33"/>
    </row>
    <row r="756" ht="15.75" customHeight="1">
      <c r="J756" s="33"/>
    </row>
    <row r="757" ht="15.75" customHeight="1">
      <c r="J757" s="33"/>
    </row>
    <row r="758" ht="15.75" customHeight="1">
      <c r="J758" s="33"/>
    </row>
    <row r="759" ht="15.75" customHeight="1">
      <c r="J759" s="33"/>
    </row>
    <row r="760" ht="15.75" customHeight="1">
      <c r="J760" s="33"/>
    </row>
    <row r="761" ht="15.75" customHeight="1">
      <c r="J761" s="33"/>
    </row>
    <row r="762" ht="15.75" customHeight="1">
      <c r="J762" s="33"/>
    </row>
    <row r="763" ht="15.75" customHeight="1">
      <c r="J763" s="33"/>
    </row>
    <row r="764" ht="15.75" customHeight="1">
      <c r="J764" s="33"/>
    </row>
    <row r="765" ht="15.75" customHeight="1">
      <c r="J765" s="33"/>
    </row>
    <row r="766" ht="15.75" customHeight="1">
      <c r="J766" s="33"/>
    </row>
    <row r="767" ht="15.75" customHeight="1">
      <c r="J767" s="33"/>
    </row>
    <row r="768" ht="15.75" customHeight="1">
      <c r="J768" s="33"/>
    </row>
    <row r="769" ht="15.75" customHeight="1">
      <c r="J769" s="33"/>
    </row>
    <row r="770" ht="15.75" customHeight="1">
      <c r="J770" s="33"/>
    </row>
    <row r="771" ht="15.75" customHeight="1">
      <c r="J771" s="33"/>
    </row>
    <row r="772" ht="15.75" customHeight="1">
      <c r="J772" s="33"/>
    </row>
    <row r="773" ht="15.75" customHeight="1">
      <c r="J773" s="33"/>
    </row>
    <row r="774" ht="15.75" customHeight="1">
      <c r="J774" s="33"/>
    </row>
    <row r="775" ht="15.75" customHeight="1">
      <c r="J775" s="33"/>
    </row>
    <row r="776" ht="15.75" customHeight="1">
      <c r="J776" s="33"/>
    </row>
    <row r="777" ht="15.75" customHeight="1">
      <c r="J777" s="33"/>
    </row>
    <row r="778" ht="15.75" customHeight="1">
      <c r="J778" s="33"/>
    </row>
    <row r="779" ht="15.75" customHeight="1">
      <c r="J779" s="33"/>
    </row>
    <row r="780" ht="15.75" customHeight="1">
      <c r="J780" s="33"/>
    </row>
    <row r="781" ht="15.75" customHeight="1">
      <c r="J781" s="33"/>
    </row>
    <row r="782" ht="15.75" customHeight="1">
      <c r="J782" s="33"/>
    </row>
    <row r="783" ht="15.75" customHeight="1">
      <c r="J783" s="33"/>
    </row>
    <row r="784" ht="15.75" customHeight="1">
      <c r="J784" s="33"/>
    </row>
    <row r="785" ht="15.75" customHeight="1">
      <c r="J785" s="33"/>
    </row>
    <row r="786" ht="15.75" customHeight="1">
      <c r="J786" s="33"/>
    </row>
    <row r="787" ht="15.75" customHeight="1">
      <c r="J787" s="33"/>
    </row>
    <row r="788" ht="15.75" customHeight="1">
      <c r="J788" s="33"/>
    </row>
    <row r="789" ht="15.75" customHeight="1">
      <c r="J789" s="33"/>
    </row>
    <row r="790" ht="15.75" customHeight="1">
      <c r="J790" s="33"/>
    </row>
    <row r="791" ht="15.75" customHeight="1">
      <c r="J791" s="33"/>
    </row>
    <row r="792" ht="15.75" customHeight="1">
      <c r="J792" s="33"/>
    </row>
    <row r="793" ht="15.75" customHeight="1">
      <c r="J793" s="33"/>
    </row>
    <row r="794" ht="15.75" customHeight="1">
      <c r="J794" s="33"/>
    </row>
    <row r="795" ht="15.75" customHeight="1">
      <c r="J795" s="33"/>
    </row>
    <row r="796" ht="15.75" customHeight="1">
      <c r="J796" s="33"/>
    </row>
    <row r="797" ht="15.75" customHeight="1">
      <c r="J797" s="33"/>
    </row>
    <row r="798" ht="15.75" customHeight="1">
      <c r="J798" s="33"/>
    </row>
    <row r="799" ht="15.75" customHeight="1">
      <c r="J799" s="33"/>
    </row>
    <row r="800" ht="15.75" customHeight="1">
      <c r="J800" s="33"/>
    </row>
    <row r="801" ht="15.75" customHeight="1">
      <c r="J801" s="33"/>
    </row>
    <row r="802" ht="15.75" customHeight="1">
      <c r="J802" s="33"/>
    </row>
    <row r="803" ht="15.75" customHeight="1">
      <c r="J803" s="33"/>
    </row>
    <row r="804" ht="15.75" customHeight="1">
      <c r="J804" s="33"/>
    </row>
    <row r="805" ht="15.75" customHeight="1">
      <c r="J805" s="33"/>
    </row>
    <row r="806" ht="15.75" customHeight="1">
      <c r="J806" s="33"/>
    </row>
    <row r="807" ht="15.75" customHeight="1">
      <c r="J807" s="33"/>
    </row>
    <row r="808" ht="15.75" customHeight="1">
      <c r="J808" s="33"/>
    </row>
    <row r="809" ht="15.75" customHeight="1">
      <c r="J809" s="33"/>
    </row>
    <row r="810" ht="15.75" customHeight="1">
      <c r="J810" s="33"/>
    </row>
    <row r="811" ht="15.75" customHeight="1">
      <c r="J811" s="33"/>
    </row>
    <row r="812" ht="15.75" customHeight="1">
      <c r="J812" s="33"/>
    </row>
    <row r="813" ht="15.75" customHeight="1">
      <c r="J813" s="33"/>
    </row>
    <row r="814" ht="15.75" customHeight="1">
      <c r="J814" s="33"/>
    </row>
    <row r="815" ht="15.75" customHeight="1">
      <c r="J815" s="33"/>
    </row>
    <row r="816" ht="15.75" customHeight="1">
      <c r="J816" s="33"/>
    </row>
    <row r="817" ht="15.75" customHeight="1">
      <c r="J817" s="33"/>
    </row>
    <row r="818" ht="15.75" customHeight="1">
      <c r="J818" s="33"/>
    </row>
    <row r="819" ht="15.75" customHeight="1">
      <c r="J819" s="33"/>
    </row>
    <row r="820" ht="15.75" customHeight="1">
      <c r="J820" s="33"/>
    </row>
    <row r="821" ht="15.75" customHeight="1">
      <c r="J821" s="33"/>
    </row>
    <row r="822" ht="15.75" customHeight="1">
      <c r="J822" s="33"/>
    </row>
    <row r="823" ht="15.75" customHeight="1">
      <c r="J823" s="33"/>
    </row>
    <row r="824" ht="15.75" customHeight="1">
      <c r="J824" s="33"/>
    </row>
    <row r="825" ht="15.75" customHeight="1">
      <c r="J825" s="33"/>
    </row>
    <row r="826" ht="15.75" customHeight="1">
      <c r="J826" s="33"/>
    </row>
    <row r="827" ht="15.75" customHeight="1">
      <c r="J827" s="33"/>
    </row>
    <row r="828" ht="15.75" customHeight="1">
      <c r="J828" s="33"/>
    </row>
    <row r="829" ht="15.75" customHeight="1">
      <c r="J829" s="33"/>
    </row>
    <row r="830" ht="15.75" customHeight="1">
      <c r="J830" s="33"/>
    </row>
    <row r="831" ht="15.75" customHeight="1">
      <c r="J831" s="33"/>
    </row>
    <row r="832" ht="15.75" customHeight="1">
      <c r="J832" s="33"/>
    </row>
    <row r="833" ht="15.75" customHeight="1">
      <c r="J833" s="33"/>
    </row>
    <row r="834" ht="15.75" customHeight="1">
      <c r="J834" s="33"/>
    </row>
    <row r="835" ht="15.75" customHeight="1">
      <c r="J835" s="33"/>
    </row>
    <row r="836" ht="15.75" customHeight="1">
      <c r="J836" s="33"/>
    </row>
    <row r="837" ht="15.75" customHeight="1">
      <c r="J837" s="33"/>
    </row>
    <row r="838" ht="15.75" customHeight="1">
      <c r="J838" s="33"/>
    </row>
    <row r="839" ht="15.75" customHeight="1">
      <c r="J839" s="33"/>
    </row>
    <row r="840" ht="15.75" customHeight="1">
      <c r="J840" s="33"/>
    </row>
    <row r="841" ht="15.75" customHeight="1">
      <c r="J841" s="33"/>
    </row>
    <row r="842" ht="15.75" customHeight="1">
      <c r="J842" s="33"/>
    </row>
    <row r="843" ht="15.75" customHeight="1">
      <c r="J843" s="33"/>
    </row>
    <row r="844" ht="15.75" customHeight="1">
      <c r="J844" s="33"/>
    </row>
    <row r="845" ht="15.75" customHeight="1">
      <c r="J845" s="33"/>
    </row>
    <row r="846" ht="15.75" customHeight="1">
      <c r="J846" s="33"/>
    </row>
    <row r="847" ht="15.75" customHeight="1">
      <c r="J847" s="33"/>
    </row>
    <row r="848" ht="15.75" customHeight="1">
      <c r="J848" s="33"/>
    </row>
    <row r="849" ht="15.75" customHeight="1">
      <c r="J849" s="33"/>
    </row>
    <row r="850" ht="15.75" customHeight="1">
      <c r="J850" s="33"/>
    </row>
    <row r="851" ht="15.75" customHeight="1">
      <c r="J851" s="33"/>
    </row>
    <row r="852" ht="15.75" customHeight="1">
      <c r="J852" s="33"/>
    </row>
    <row r="853" ht="15.75" customHeight="1">
      <c r="J853" s="33"/>
    </row>
    <row r="854" ht="15.75" customHeight="1">
      <c r="J854" s="33"/>
    </row>
    <row r="855" ht="15.75" customHeight="1">
      <c r="J855" s="33"/>
    </row>
    <row r="856" ht="15.75" customHeight="1">
      <c r="J856" s="33"/>
    </row>
    <row r="857" ht="15.75" customHeight="1">
      <c r="J857" s="33"/>
    </row>
    <row r="858" ht="15.75" customHeight="1">
      <c r="J858" s="33"/>
    </row>
    <row r="859" ht="15.75" customHeight="1">
      <c r="J859" s="33"/>
    </row>
    <row r="860" ht="15.75" customHeight="1">
      <c r="J860" s="33"/>
    </row>
    <row r="861" ht="15.75" customHeight="1">
      <c r="J861" s="33"/>
    </row>
    <row r="862" ht="15.75" customHeight="1">
      <c r="J862" s="33"/>
    </row>
    <row r="863" ht="15.75" customHeight="1">
      <c r="J863" s="33"/>
    </row>
    <row r="864" ht="15.75" customHeight="1">
      <c r="J864" s="33"/>
    </row>
    <row r="865" ht="15.75" customHeight="1">
      <c r="J865" s="33"/>
    </row>
    <row r="866" ht="15.75" customHeight="1">
      <c r="J866" s="33"/>
    </row>
    <row r="867" ht="15.75" customHeight="1">
      <c r="J867" s="33"/>
    </row>
    <row r="868" ht="15.75" customHeight="1">
      <c r="J868" s="33"/>
    </row>
    <row r="869" ht="15.75" customHeight="1">
      <c r="J869" s="33"/>
    </row>
    <row r="870" ht="15.75" customHeight="1">
      <c r="J870" s="33"/>
    </row>
    <row r="871" ht="15.75" customHeight="1">
      <c r="J871" s="33"/>
    </row>
    <row r="872" ht="15.75" customHeight="1">
      <c r="J872" s="33"/>
    </row>
    <row r="873" ht="15.75" customHeight="1">
      <c r="J873" s="33"/>
    </row>
    <row r="874" ht="15.75" customHeight="1">
      <c r="J874" s="33"/>
    </row>
    <row r="875" ht="15.75" customHeight="1">
      <c r="J875" s="33"/>
    </row>
    <row r="876" ht="15.75" customHeight="1">
      <c r="J876" s="33"/>
    </row>
    <row r="877" ht="15.75" customHeight="1">
      <c r="J877" s="33"/>
    </row>
    <row r="878" ht="15.75" customHeight="1">
      <c r="J878" s="33"/>
    </row>
    <row r="879" ht="15.75" customHeight="1">
      <c r="J879" s="33"/>
    </row>
    <row r="880" ht="15.75" customHeight="1">
      <c r="J880" s="33"/>
    </row>
    <row r="881" ht="15.75" customHeight="1">
      <c r="J881" s="33"/>
    </row>
    <row r="882" ht="15.75" customHeight="1">
      <c r="J882" s="33"/>
    </row>
    <row r="883" ht="15.75" customHeight="1">
      <c r="J883" s="33"/>
    </row>
    <row r="884" ht="15.75" customHeight="1">
      <c r="J884" s="33"/>
    </row>
    <row r="885" ht="15.75" customHeight="1">
      <c r="J885" s="33"/>
    </row>
    <row r="886" ht="15.75" customHeight="1">
      <c r="J886" s="33"/>
    </row>
    <row r="887" ht="15.75" customHeight="1">
      <c r="J887" s="33"/>
    </row>
    <row r="888" ht="15.75" customHeight="1">
      <c r="J888" s="33"/>
    </row>
    <row r="889" ht="15.75" customHeight="1">
      <c r="J889" s="33"/>
    </row>
    <row r="890" ht="15.75" customHeight="1">
      <c r="J890" s="33"/>
    </row>
    <row r="891" ht="15.75" customHeight="1">
      <c r="J891" s="33"/>
    </row>
    <row r="892" ht="15.75" customHeight="1">
      <c r="J892" s="33"/>
    </row>
    <row r="893" ht="15.75" customHeight="1">
      <c r="J893" s="33"/>
    </row>
    <row r="894" ht="15.75" customHeight="1">
      <c r="J894" s="33"/>
    </row>
    <row r="895" ht="15.75" customHeight="1">
      <c r="J895" s="33"/>
    </row>
    <row r="896" ht="15.75" customHeight="1">
      <c r="J896" s="33"/>
    </row>
    <row r="897" ht="15.75" customHeight="1">
      <c r="J897" s="33"/>
    </row>
    <row r="898" ht="15.75" customHeight="1">
      <c r="J898" s="33"/>
    </row>
    <row r="899" ht="15.75" customHeight="1">
      <c r="J899" s="33"/>
    </row>
    <row r="900" ht="15.75" customHeight="1">
      <c r="J900" s="33"/>
    </row>
    <row r="901" ht="15.75" customHeight="1">
      <c r="J901" s="33"/>
    </row>
    <row r="902" ht="15.75" customHeight="1">
      <c r="J902" s="33"/>
    </row>
    <row r="903" ht="15.75" customHeight="1">
      <c r="J903" s="33"/>
    </row>
    <row r="904" ht="15.75" customHeight="1">
      <c r="J904" s="33"/>
    </row>
    <row r="905" ht="15.75" customHeight="1">
      <c r="J905" s="33"/>
    </row>
    <row r="906" ht="15.75" customHeight="1">
      <c r="J906" s="33"/>
    </row>
    <row r="907" ht="15.75" customHeight="1">
      <c r="J907" s="33"/>
    </row>
    <row r="908" ht="15.75" customHeight="1">
      <c r="J908" s="33"/>
    </row>
    <row r="909" ht="15.75" customHeight="1">
      <c r="J909" s="33"/>
    </row>
    <row r="910" ht="15.75" customHeight="1">
      <c r="J910" s="33"/>
    </row>
    <row r="911" ht="15.75" customHeight="1">
      <c r="J911" s="33"/>
    </row>
    <row r="912" ht="15.75" customHeight="1">
      <c r="J912" s="33"/>
    </row>
    <row r="913" ht="15.75" customHeight="1">
      <c r="J913" s="33"/>
    </row>
    <row r="914" ht="15.75" customHeight="1">
      <c r="J914" s="33"/>
    </row>
    <row r="915" ht="15.75" customHeight="1">
      <c r="J915" s="33"/>
    </row>
    <row r="916" ht="15.75" customHeight="1">
      <c r="J916" s="33"/>
    </row>
    <row r="917" ht="15.75" customHeight="1">
      <c r="J917" s="33"/>
    </row>
    <row r="918" ht="15.75" customHeight="1">
      <c r="J918" s="33"/>
    </row>
    <row r="919" ht="15.75" customHeight="1">
      <c r="J919" s="33"/>
    </row>
    <row r="920" ht="15.75" customHeight="1">
      <c r="J920" s="33"/>
    </row>
    <row r="921" ht="15.75" customHeight="1">
      <c r="J921" s="33"/>
    </row>
    <row r="922" ht="15.75" customHeight="1">
      <c r="J922" s="33"/>
    </row>
    <row r="923" ht="15.75" customHeight="1">
      <c r="J923" s="33"/>
    </row>
    <row r="924" ht="15.75" customHeight="1">
      <c r="J924" s="33"/>
    </row>
    <row r="925" ht="15.75" customHeight="1">
      <c r="J925" s="33"/>
    </row>
    <row r="926" ht="15.75" customHeight="1">
      <c r="J926" s="33"/>
    </row>
    <row r="927" ht="15.75" customHeight="1">
      <c r="J927" s="33"/>
    </row>
    <row r="928" ht="15.75" customHeight="1">
      <c r="J928" s="33"/>
    </row>
    <row r="929" ht="15.75" customHeight="1">
      <c r="J929" s="33"/>
    </row>
    <row r="930" ht="15.75" customHeight="1">
      <c r="J930" s="33"/>
    </row>
    <row r="931" ht="15.75" customHeight="1">
      <c r="J931" s="33"/>
    </row>
    <row r="932" ht="15.75" customHeight="1">
      <c r="J932" s="33"/>
    </row>
    <row r="933" ht="15.75" customHeight="1">
      <c r="J933" s="33"/>
    </row>
    <row r="934" ht="15.75" customHeight="1">
      <c r="J934" s="33"/>
    </row>
    <row r="935" ht="15.75" customHeight="1">
      <c r="J935" s="33"/>
    </row>
    <row r="936" ht="15.75" customHeight="1">
      <c r="J936" s="33"/>
    </row>
    <row r="937" ht="15.75" customHeight="1">
      <c r="J937" s="33"/>
    </row>
    <row r="938" ht="15.75" customHeight="1">
      <c r="J938" s="33"/>
    </row>
    <row r="939" ht="15.75" customHeight="1">
      <c r="J939" s="33"/>
    </row>
    <row r="940" ht="15.75" customHeight="1">
      <c r="J940" s="33"/>
    </row>
    <row r="941" ht="15.75" customHeight="1">
      <c r="J941" s="33"/>
    </row>
    <row r="942" ht="15.75" customHeight="1">
      <c r="J942" s="33"/>
    </row>
    <row r="943" ht="15.75" customHeight="1">
      <c r="J943" s="33"/>
    </row>
    <row r="944" ht="15.75" customHeight="1">
      <c r="J944" s="33"/>
    </row>
    <row r="945" ht="15.75" customHeight="1">
      <c r="J945" s="33"/>
    </row>
    <row r="946" ht="15.75" customHeight="1">
      <c r="J946" s="33"/>
    </row>
    <row r="947" ht="15.75" customHeight="1">
      <c r="J947" s="33"/>
    </row>
    <row r="948" ht="15.75" customHeight="1">
      <c r="J948" s="33"/>
    </row>
    <row r="949" ht="15.75" customHeight="1">
      <c r="J949" s="33"/>
    </row>
    <row r="950" ht="15.75" customHeight="1">
      <c r="J950" s="33"/>
    </row>
    <row r="951" ht="15.75" customHeight="1">
      <c r="J951" s="33"/>
    </row>
    <row r="952" ht="15.75" customHeight="1">
      <c r="J952" s="33"/>
    </row>
    <row r="953" ht="15.75" customHeight="1">
      <c r="J953" s="33"/>
    </row>
    <row r="954" ht="15.75" customHeight="1">
      <c r="J954" s="33"/>
    </row>
    <row r="955" ht="15.75" customHeight="1">
      <c r="J955" s="33"/>
    </row>
    <row r="956" ht="15.75" customHeight="1">
      <c r="J956" s="33"/>
    </row>
    <row r="957" ht="15.75" customHeight="1">
      <c r="J957" s="33"/>
    </row>
    <row r="958" ht="15.75" customHeight="1">
      <c r="J958" s="33"/>
    </row>
    <row r="959" ht="15.75" customHeight="1">
      <c r="J959" s="33"/>
    </row>
    <row r="960" ht="15.75" customHeight="1">
      <c r="J960" s="33"/>
    </row>
    <row r="961" ht="15.75" customHeight="1">
      <c r="J961" s="33"/>
    </row>
    <row r="962" ht="15.75" customHeight="1">
      <c r="J962" s="33"/>
    </row>
    <row r="963" ht="15.75" customHeight="1">
      <c r="J963" s="33"/>
    </row>
    <row r="964" ht="15.75" customHeight="1">
      <c r="J964" s="33"/>
    </row>
    <row r="965" ht="15.75" customHeight="1">
      <c r="J965" s="33"/>
    </row>
    <row r="966" ht="15.75" customHeight="1">
      <c r="J966" s="33"/>
    </row>
    <row r="967" ht="15.75" customHeight="1">
      <c r="J967" s="33"/>
    </row>
    <row r="968" ht="15.75" customHeight="1">
      <c r="J968" s="33"/>
    </row>
    <row r="969" ht="15.75" customHeight="1">
      <c r="J969" s="33"/>
    </row>
    <row r="970" ht="15.75" customHeight="1">
      <c r="J970" s="33"/>
    </row>
    <row r="971" ht="15.75" customHeight="1">
      <c r="J971" s="33"/>
    </row>
    <row r="972" ht="15.75" customHeight="1">
      <c r="J972" s="33"/>
    </row>
    <row r="973" ht="15.75" customHeight="1">
      <c r="J973" s="33"/>
    </row>
    <row r="974" ht="15.75" customHeight="1">
      <c r="J974" s="33"/>
    </row>
    <row r="975" ht="15.75" customHeight="1">
      <c r="J975" s="33"/>
    </row>
    <row r="976" ht="15.75" customHeight="1">
      <c r="J976" s="33"/>
    </row>
    <row r="977" ht="15.75" customHeight="1">
      <c r="J977" s="33"/>
    </row>
    <row r="978" ht="15.75" customHeight="1">
      <c r="J978" s="33"/>
    </row>
    <row r="979" ht="15.75" customHeight="1">
      <c r="J979" s="33"/>
    </row>
    <row r="980" ht="15.75" customHeight="1">
      <c r="J980" s="33"/>
    </row>
    <row r="981" ht="15.75" customHeight="1">
      <c r="J981" s="33"/>
    </row>
    <row r="982" ht="15.75" customHeight="1">
      <c r="J982" s="33"/>
    </row>
    <row r="983" ht="15.75" customHeight="1">
      <c r="J983" s="33"/>
    </row>
    <row r="984" ht="15.75" customHeight="1">
      <c r="J984" s="33"/>
    </row>
    <row r="985" ht="15.75" customHeight="1">
      <c r="J985" s="33"/>
    </row>
    <row r="986" ht="15.75" customHeight="1">
      <c r="J986" s="33"/>
    </row>
    <row r="987" ht="15.75" customHeight="1">
      <c r="J987" s="33"/>
    </row>
    <row r="988" ht="15.75" customHeight="1">
      <c r="J988" s="33"/>
    </row>
    <row r="989" ht="15.75" customHeight="1">
      <c r="J989" s="33"/>
    </row>
    <row r="990" ht="15.75" customHeight="1">
      <c r="J990" s="33"/>
    </row>
    <row r="991" ht="15.75" customHeight="1">
      <c r="J991" s="33"/>
    </row>
    <row r="992" ht="15.75" customHeight="1">
      <c r="J992" s="33"/>
    </row>
    <row r="993" ht="15.75" customHeight="1">
      <c r="J993" s="33"/>
    </row>
    <row r="994" ht="15.75" customHeight="1">
      <c r="J994" s="33"/>
    </row>
    <row r="995" ht="15.75" customHeight="1">
      <c r="J995" s="33"/>
    </row>
    <row r="996" ht="15.75" customHeight="1">
      <c r="J996" s="33"/>
    </row>
  </sheetData>
  <dataValidations>
    <dataValidation type="list" allowBlank="1" showErrorMessage="1" sqref="C2:C185">
      <formula1>"Aceh Utara,Pidie,Aceh Jaya,Aceh Timur,Bireun,Aceh Besar"</formula1>
    </dataValidation>
    <dataValidation type="list" allowBlank="1" showErrorMessage="1" sqref="H2:H185">
      <formula1>"Perempuan,Laki-laki"</formula1>
    </dataValidation>
    <dataValidation type="list" allowBlank="1" showErrorMessage="1" sqref="N2:N185">
      <formula1>"Lahan milik sendiri,Lahan yang berasal dari pihak lain,Total Lahan yang digarapa"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21.0"/>
    <col customWidth="1" min="3" max="3" width="21.57"/>
    <col customWidth="1" min="4" max="4" width="24.0"/>
    <col customWidth="1" min="5" max="5" width="21.43"/>
    <col customWidth="1" min="6" max="6" width="23.86"/>
    <col customWidth="1" min="7" max="7" width="26.43"/>
    <col customWidth="1" min="8" max="8" width="18.14"/>
    <col customWidth="1" min="9" max="9" width="23.71"/>
    <col customWidth="1" min="10" max="10" width="25.14"/>
    <col customWidth="1" min="11" max="11" width="26.43"/>
    <col customWidth="1" min="12" max="13" width="28.14"/>
    <col customWidth="1" min="14" max="14" width="72.43"/>
    <col customWidth="1" min="15" max="15" width="24.57"/>
    <col customWidth="1" min="16" max="16" width="25.71"/>
    <col customWidth="1" min="17" max="17" width="43.0"/>
    <col customWidth="1" min="18" max="18" width="27.71"/>
    <col customWidth="1" min="19" max="19" width="43.0"/>
    <col customWidth="1" min="20" max="20" width="41.43"/>
    <col customWidth="1" min="21" max="21" width="22.86"/>
    <col customWidth="1" min="22" max="22" width="28.14"/>
    <col customWidth="1" min="23" max="23" width="32.57"/>
    <col customWidth="1" min="24" max="24" width="19.0"/>
    <col customWidth="1" min="25" max="29" width="8.71"/>
  </cols>
  <sheetData>
    <row r="1">
      <c r="A1" s="34" t="s">
        <v>465</v>
      </c>
      <c r="B1" s="35" t="s">
        <v>0</v>
      </c>
      <c r="C1" s="35" t="s">
        <v>466</v>
      </c>
      <c r="D1" s="36" t="s">
        <v>467</v>
      </c>
      <c r="E1" s="35" t="s">
        <v>468</v>
      </c>
      <c r="F1" s="37" t="s">
        <v>469</v>
      </c>
      <c r="G1" s="37" t="s">
        <v>470</v>
      </c>
      <c r="H1" s="37" t="s">
        <v>471</v>
      </c>
      <c r="I1" s="36" t="s">
        <v>472</v>
      </c>
      <c r="J1" s="36" t="s">
        <v>473</v>
      </c>
      <c r="K1" s="35" t="s">
        <v>474</v>
      </c>
      <c r="L1" s="35" t="s">
        <v>475</v>
      </c>
      <c r="M1" s="34" t="s">
        <v>476</v>
      </c>
      <c r="N1" s="35" t="s">
        <v>477</v>
      </c>
      <c r="O1" s="34" t="s">
        <v>478</v>
      </c>
      <c r="P1" s="35" t="s">
        <v>479</v>
      </c>
      <c r="Q1" s="35" t="s">
        <v>480</v>
      </c>
      <c r="R1" s="35" t="s">
        <v>481</v>
      </c>
      <c r="S1" s="34" t="s">
        <v>482</v>
      </c>
      <c r="T1" s="34" t="s">
        <v>483</v>
      </c>
      <c r="U1" s="35" t="s">
        <v>484</v>
      </c>
      <c r="V1" s="35" t="s">
        <v>485</v>
      </c>
      <c r="W1" s="36" t="s">
        <v>486</v>
      </c>
    </row>
    <row r="2">
      <c r="A2" s="38" t="s">
        <v>487</v>
      </c>
      <c r="B2" s="38" t="s">
        <v>17</v>
      </c>
      <c r="C2" s="38" t="s">
        <v>488</v>
      </c>
      <c r="D2" s="39">
        <v>3000.0</v>
      </c>
      <c r="E2" s="38" t="s">
        <v>489</v>
      </c>
      <c r="F2" s="39">
        <v>3000.0</v>
      </c>
      <c r="G2" s="40">
        <f t="shared" ref="G2:G67" si="1">(H2/180)</f>
        <v>5</v>
      </c>
      <c r="H2" s="39">
        <f t="shared" ref="H2:H37" si="2">G2*180</f>
        <v>900</v>
      </c>
      <c r="I2" s="38" t="s">
        <v>490</v>
      </c>
      <c r="J2" s="39">
        <v>8000.0</v>
      </c>
      <c r="K2" s="38" t="s">
        <v>491</v>
      </c>
      <c r="L2" s="38" t="s">
        <v>492</v>
      </c>
      <c r="M2" s="38">
        <v>2.0</v>
      </c>
      <c r="N2" s="41" t="s">
        <v>493</v>
      </c>
      <c r="O2" s="38" t="s">
        <v>494</v>
      </c>
      <c r="P2" s="38" t="s">
        <v>495</v>
      </c>
      <c r="Q2" s="41" t="s">
        <v>496</v>
      </c>
      <c r="R2" s="38" t="s">
        <v>497</v>
      </c>
      <c r="S2" s="41" t="s">
        <v>498</v>
      </c>
      <c r="T2" s="41" t="s">
        <v>499</v>
      </c>
      <c r="U2" s="38" t="s">
        <v>497</v>
      </c>
      <c r="V2" s="38" t="s">
        <v>497</v>
      </c>
      <c r="W2" s="40" t="s">
        <v>500</v>
      </c>
    </row>
    <row r="3">
      <c r="A3" s="38" t="s">
        <v>501</v>
      </c>
      <c r="B3" s="38" t="s">
        <v>17</v>
      </c>
      <c r="C3" s="38" t="s">
        <v>502</v>
      </c>
      <c r="D3" s="39">
        <v>3000.0</v>
      </c>
      <c r="E3" s="38" t="s">
        <v>503</v>
      </c>
      <c r="F3" s="39">
        <v>3000.0</v>
      </c>
      <c r="G3" s="40">
        <f t="shared" si="1"/>
        <v>5</v>
      </c>
      <c r="H3" s="39">
        <f t="shared" si="2"/>
        <v>900</v>
      </c>
      <c r="I3" s="38" t="s">
        <v>490</v>
      </c>
      <c r="J3" s="39">
        <v>8000.0</v>
      </c>
      <c r="K3" s="38" t="s">
        <v>491</v>
      </c>
      <c r="L3" s="38" t="s">
        <v>492</v>
      </c>
      <c r="M3" s="38">
        <v>2.0</v>
      </c>
      <c r="N3" s="41" t="s">
        <v>493</v>
      </c>
      <c r="O3" s="38" t="s">
        <v>494</v>
      </c>
      <c r="P3" s="38" t="s">
        <v>495</v>
      </c>
      <c r="Q3" s="42" t="s">
        <v>504</v>
      </c>
      <c r="R3" s="38" t="s">
        <v>497</v>
      </c>
      <c r="S3" s="41" t="s">
        <v>498</v>
      </c>
      <c r="T3" s="41" t="s">
        <v>499</v>
      </c>
      <c r="U3" s="38" t="s">
        <v>497</v>
      </c>
      <c r="V3" s="38" t="s">
        <v>497</v>
      </c>
      <c r="W3" s="40" t="s">
        <v>500</v>
      </c>
    </row>
    <row r="4">
      <c r="A4" s="38" t="s">
        <v>505</v>
      </c>
      <c r="B4" s="38" t="s">
        <v>28</v>
      </c>
      <c r="C4" s="38" t="s">
        <v>488</v>
      </c>
      <c r="D4" s="39">
        <v>5000.0</v>
      </c>
      <c r="E4" s="38" t="s">
        <v>489</v>
      </c>
      <c r="F4" s="39">
        <v>5000.0</v>
      </c>
      <c r="G4" s="40">
        <f t="shared" si="1"/>
        <v>8</v>
      </c>
      <c r="H4" s="39">
        <f t="shared" si="2"/>
        <v>1440</v>
      </c>
      <c r="I4" s="43" t="s">
        <v>506</v>
      </c>
      <c r="J4" s="39">
        <v>8000.0</v>
      </c>
      <c r="K4" s="38" t="s">
        <v>491</v>
      </c>
      <c r="L4" s="38" t="s">
        <v>507</v>
      </c>
      <c r="M4" s="38">
        <v>2.0</v>
      </c>
      <c r="N4" s="41" t="s">
        <v>493</v>
      </c>
      <c r="O4" s="38" t="s">
        <v>494</v>
      </c>
      <c r="P4" s="38" t="s">
        <v>495</v>
      </c>
      <c r="Q4" s="42" t="s">
        <v>504</v>
      </c>
      <c r="R4" s="38" t="s">
        <v>497</v>
      </c>
      <c r="S4" s="41" t="s">
        <v>508</v>
      </c>
      <c r="T4" s="41" t="s">
        <v>499</v>
      </c>
      <c r="U4" s="38" t="s">
        <v>497</v>
      </c>
      <c r="V4" s="38" t="s">
        <v>497</v>
      </c>
      <c r="W4" s="40" t="s">
        <v>500</v>
      </c>
    </row>
    <row r="5">
      <c r="A5" s="38" t="s">
        <v>509</v>
      </c>
      <c r="B5" s="38" t="s">
        <v>28</v>
      </c>
      <c r="C5" s="38" t="s">
        <v>502</v>
      </c>
      <c r="D5" s="39">
        <v>5000.0</v>
      </c>
      <c r="E5" s="38" t="s">
        <v>503</v>
      </c>
      <c r="F5" s="39">
        <v>5000.0</v>
      </c>
      <c r="G5" s="40">
        <f t="shared" si="1"/>
        <v>8</v>
      </c>
      <c r="H5" s="39">
        <f t="shared" si="2"/>
        <v>1440</v>
      </c>
      <c r="I5" s="43" t="s">
        <v>506</v>
      </c>
      <c r="J5" s="39">
        <v>8000.0</v>
      </c>
      <c r="K5" s="38" t="s">
        <v>491</v>
      </c>
      <c r="L5" s="38" t="s">
        <v>507</v>
      </c>
      <c r="M5" s="38">
        <v>2.0</v>
      </c>
      <c r="N5" s="41" t="s">
        <v>493</v>
      </c>
      <c r="O5" s="38" t="s">
        <v>494</v>
      </c>
      <c r="P5" s="38" t="s">
        <v>495</v>
      </c>
      <c r="Q5" s="42" t="s">
        <v>504</v>
      </c>
      <c r="R5" s="38" t="s">
        <v>497</v>
      </c>
      <c r="S5" s="41" t="s">
        <v>510</v>
      </c>
      <c r="T5" s="41" t="s">
        <v>499</v>
      </c>
      <c r="U5" s="38" t="s">
        <v>497</v>
      </c>
      <c r="V5" s="38" t="s">
        <v>497</v>
      </c>
      <c r="W5" s="40" t="s">
        <v>500</v>
      </c>
    </row>
    <row r="6">
      <c r="A6" s="38" t="s">
        <v>511</v>
      </c>
      <c r="B6" s="38" t="s">
        <v>33</v>
      </c>
      <c r="C6" s="38" t="s">
        <v>488</v>
      </c>
      <c r="D6" s="39">
        <v>5000.0</v>
      </c>
      <c r="E6" s="38" t="s">
        <v>512</v>
      </c>
      <c r="F6" s="39">
        <v>5000.0</v>
      </c>
      <c r="G6" s="40">
        <f t="shared" si="1"/>
        <v>14</v>
      </c>
      <c r="H6" s="39">
        <f t="shared" si="2"/>
        <v>2520</v>
      </c>
      <c r="I6" s="43" t="s">
        <v>513</v>
      </c>
      <c r="J6" s="39">
        <v>6500.0</v>
      </c>
      <c r="K6" s="38" t="s">
        <v>514</v>
      </c>
      <c r="L6" s="38" t="s">
        <v>507</v>
      </c>
      <c r="M6" s="38">
        <v>2.0</v>
      </c>
      <c r="N6" s="41" t="s">
        <v>493</v>
      </c>
      <c r="O6" s="38" t="s">
        <v>494</v>
      </c>
      <c r="P6" s="38" t="s">
        <v>495</v>
      </c>
      <c r="Q6" s="42" t="s">
        <v>504</v>
      </c>
      <c r="R6" s="38" t="s">
        <v>497</v>
      </c>
      <c r="S6" s="41" t="s">
        <v>515</v>
      </c>
      <c r="T6" s="41" t="s">
        <v>499</v>
      </c>
      <c r="U6" s="38" t="s">
        <v>497</v>
      </c>
      <c r="V6" s="38" t="s">
        <v>497</v>
      </c>
      <c r="W6" s="40" t="s">
        <v>500</v>
      </c>
    </row>
    <row r="7">
      <c r="A7" s="38" t="s">
        <v>516</v>
      </c>
      <c r="B7" s="38" t="s">
        <v>33</v>
      </c>
      <c r="C7" s="38" t="s">
        <v>517</v>
      </c>
      <c r="D7" s="39">
        <v>5000.0</v>
      </c>
      <c r="E7" s="38" t="s">
        <v>518</v>
      </c>
      <c r="F7" s="39">
        <v>5000.0</v>
      </c>
      <c r="G7" s="40">
        <f t="shared" si="1"/>
        <v>14</v>
      </c>
      <c r="H7" s="39">
        <f t="shared" si="2"/>
        <v>2520</v>
      </c>
      <c r="I7" s="43" t="s">
        <v>513</v>
      </c>
      <c r="J7" s="39">
        <v>6500.0</v>
      </c>
      <c r="K7" s="38" t="s">
        <v>514</v>
      </c>
      <c r="L7" s="38" t="s">
        <v>507</v>
      </c>
      <c r="M7" s="38">
        <v>2.0</v>
      </c>
      <c r="N7" s="41" t="s">
        <v>493</v>
      </c>
      <c r="O7" s="38" t="s">
        <v>494</v>
      </c>
      <c r="P7" s="38" t="s">
        <v>495</v>
      </c>
      <c r="Q7" s="42" t="s">
        <v>504</v>
      </c>
      <c r="R7" s="38" t="s">
        <v>497</v>
      </c>
      <c r="S7" s="41" t="s">
        <v>519</v>
      </c>
      <c r="T7" s="41" t="s">
        <v>499</v>
      </c>
      <c r="U7" s="38" t="s">
        <v>497</v>
      </c>
      <c r="V7" s="38" t="s">
        <v>497</v>
      </c>
      <c r="W7" s="40" t="s">
        <v>500</v>
      </c>
    </row>
    <row r="8">
      <c r="A8" s="38" t="s">
        <v>520</v>
      </c>
      <c r="B8" s="38" t="s">
        <v>36</v>
      </c>
      <c r="C8" s="38" t="s">
        <v>488</v>
      </c>
      <c r="D8" s="39">
        <v>3000.0</v>
      </c>
      <c r="E8" s="38" t="s">
        <v>489</v>
      </c>
      <c r="F8" s="39">
        <v>3000.0</v>
      </c>
      <c r="G8" s="40">
        <f t="shared" si="1"/>
        <v>2</v>
      </c>
      <c r="H8" s="39">
        <f t="shared" si="2"/>
        <v>360</v>
      </c>
      <c r="I8" s="43" t="s">
        <v>513</v>
      </c>
      <c r="J8" s="39">
        <v>7000.0</v>
      </c>
      <c r="K8" s="38" t="s">
        <v>491</v>
      </c>
      <c r="L8" s="38" t="s">
        <v>507</v>
      </c>
      <c r="M8" s="38">
        <v>2.0</v>
      </c>
      <c r="N8" s="41" t="s">
        <v>493</v>
      </c>
      <c r="O8" s="38" t="s">
        <v>494</v>
      </c>
      <c r="P8" s="38" t="s">
        <v>495</v>
      </c>
      <c r="Q8" s="42" t="s">
        <v>504</v>
      </c>
      <c r="R8" s="38" t="s">
        <v>497</v>
      </c>
      <c r="S8" s="41" t="s">
        <v>521</v>
      </c>
      <c r="T8" s="41" t="s">
        <v>499</v>
      </c>
      <c r="U8" s="38" t="s">
        <v>497</v>
      </c>
      <c r="V8" s="38" t="s">
        <v>497</v>
      </c>
      <c r="W8" s="40" t="s">
        <v>500</v>
      </c>
    </row>
    <row r="9">
      <c r="A9" s="38" t="s">
        <v>522</v>
      </c>
      <c r="B9" s="38" t="s">
        <v>36</v>
      </c>
      <c r="C9" s="38" t="s">
        <v>502</v>
      </c>
      <c r="D9" s="39">
        <v>3000.0</v>
      </c>
      <c r="E9" s="38" t="s">
        <v>503</v>
      </c>
      <c r="F9" s="39">
        <v>3000.0</v>
      </c>
      <c r="G9" s="40">
        <f t="shared" si="1"/>
        <v>2</v>
      </c>
      <c r="H9" s="39">
        <f t="shared" si="2"/>
        <v>360</v>
      </c>
      <c r="I9" s="43" t="s">
        <v>513</v>
      </c>
      <c r="J9" s="39">
        <v>7000.0</v>
      </c>
      <c r="K9" s="38" t="s">
        <v>491</v>
      </c>
      <c r="L9" s="38" t="s">
        <v>507</v>
      </c>
      <c r="M9" s="38">
        <v>2.0</v>
      </c>
      <c r="N9" s="41" t="s">
        <v>493</v>
      </c>
      <c r="O9" s="38" t="s">
        <v>494</v>
      </c>
      <c r="P9" s="38" t="s">
        <v>495</v>
      </c>
      <c r="Q9" s="42" t="s">
        <v>504</v>
      </c>
      <c r="R9" s="38" t="s">
        <v>497</v>
      </c>
      <c r="S9" s="41" t="s">
        <v>521</v>
      </c>
      <c r="T9" s="41" t="s">
        <v>499</v>
      </c>
      <c r="U9" s="38" t="s">
        <v>497</v>
      </c>
      <c r="V9" s="38" t="s">
        <v>497</v>
      </c>
      <c r="W9" s="40" t="s">
        <v>500</v>
      </c>
    </row>
    <row r="10">
      <c r="A10" s="38" t="s">
        <v>523</v>
      </c>
      <c r="B10" s="38" t="s">
        <v>40</v>
      </c>
      <c r="C10" s="38" t="s">
        <v>488</v>
      </c>
      <c r="D10" s="39">
        <v>2000.0</v>
      </c>
      <c r="E10" s="38" t="s">
        <v>518</v>
      </c>
      <c r="F10" s="39">
        <v>2000.0</v>
      </c>
      <c r="G10" s="40">
        <f t="shared" si="1"/>
        <v>6</v>
      </c>
      <c r="H10" s="39">
        <f t="shared" si="2"/>
        <v>1080</v>
      </c>
      <c r="I10" s="43" t="s">
        <v>524</v>
      </c>
      <c r="J10" s="39">
        <v>6500.0</v>
      </c>
      <c r="K10" s="38" t="s">
        <v>491</v>
      </c>
      <c r="L10" s="38" t="s">
        <v>507</v>
      </c>
      <c r="M10" s="38">
        <v>2.0</v>
      </c>
      <c r="N10" s="41" t="s">
        <v>493</v>
      </c>
      <c r="O10" s="38" t="s">
        <v>494</v>
      </c>
      <c r="P10" s="38" t="s">
        <v>495</v>
      </c>
      <c r="Q10" s="42" t="s">
        <v>525</v>
      </c>
      <c r="R10" s="38" t="s">
        <v>497</v>
      </c>
      <c r="S10" s="41" t="s">
        <v>526</v>
      </c>
      <c r="T10" s="41" t="s">
        <v>499</v>
      </c>
      <c r="U10" s="38" t="s">
        <v>497</v>
      </c>
      <c r="V10" s="38" t="s">
        <v>497</v>
      </c>
      <c r="W10" s="40" t="s">
        <v>500</v>
      </c>
    </row>
    <row r="11">
      <c r="A11" s="38" t="s">
        <v>527</v>
      </c>
      <c r="B11" s="38" t="s">
        <v>40</v>
      </c>
      <c r="C11" s="38" t="s">
        <v>502</v>
      </c>
      <c r="D11" s="39">
        <v>2000.0</v>
      </c>
      <c r="E11" s="38" t="s">
        <v>503</v>
      </c>
      <c r="F11" s="39">
        <v>2000.0</v>
      </c>
      <c r="G11" s="40">
        <f t="shared" si="1"/>
        <v>6</v>
      </c>
      <c r="H11" s="39">
        <f t="shared" si="2"/>
        <v>1080</v>
      </c>
      <c r="I11" s="43" t="s">
        <v>524</v>
      </c>
      <c r="J11" s="39">
        <v>6500.0</v>
      </c>
      <c r="K11" s="38" t="s">
        <v>491</v>
      </c>
      <c r="L11" s="38" t="s">
        <v>507</v>
      </c>
      <c r="M11" s="38">
        <v>2.0</v>
      </c>
      <c r="N11" s="41" t="s">
        <v>493</v>
      </c>
      <c r="O11" s="38" t="s">
        <v>494</v>
      </c>
      <c r="P11" s="38" t="s">
        <v>495</v>
      </c>
      <c r="Q11" s="42" t="s">
        <v>525</v>
      </c>
      <c r="R11" s="38" t="s">
        <v>497</v>
      </c>
      <c r="S11" s="41" t="s">
        <v>528</v>
      </c>
      <c r="T11" s="41" t="s">
        <v>499</v>
      </c>
      <c r="U11" s="38" t="s">
        <v>497</v>
      </c>
      <c r="V11" s="38" t="s">
        <v>497</v>
      </c>
      <c r="W11" s="40" t="s">
        <v>500</v>
      </c>
    </row>
    <row r="12">
      <c r="A12" s="38" t="s">
        <v>529</v>
      </c>
      <c r="B12" s="38" t="s">
        <v>42</v>
      </c>
      <c r="C12" s="38" t="s">
        <v>488</v>
      </c>
      <c r="D12" s="39">
        <v>3000.0</v>
      </c>
      <c r="E12" s="38" t="s">
        <v>518</v>
      </c>
      <c r="F12" s="39">
        <v>3000.0</v>
      </c>
      <c r="G12" s="40">
        <f t="shared" si="1"/>
        <v>2</v>
      </c>
      <c r="H12" s="39">
        <f t="shared" si="2"/>
        <v>360</v>
      </c>
      <c r="I12" s="43" t="s">
        <v>513</v>
      </c>
      <c r="J12" s="39">
        <v>6500.0</v>
      </c>
      <c r="K12" s="38" t="s">
        <v>491</v>
      </c>
      <c r="L12" s="38" t="s">
        <v>492</v>
      </c>
      <c r="M12" s="38">
        <v>2.0</v>
      </c>
      <c r="N12" s="41" t="s">
        <v>493</v>
      </c>
      <c r="O12" s="38" t="s">
        <v>494</v>
      </c>
      <c r="P12" s="38" t="s">
        <v>495</v>
      </c>
      <c r="Q12" s="42" t="s">
        <v>530</v>
      </c>
      <c r="R12" s="38" t="s">
        <v>497</v>
      </c>
      <c r="S12" s="41" t="s">
        <v>531</v>
      </c>
      <c r="T12" s="41" t="s">
        <v>532</v>
      </c>
      <c r="U12" s="38" t="s">
        <v>497</v>
      </c>
      <c r="V12" s="38" t="s">
        <v>497</v>
      </c>
      <c r="W12" s="40" t="s">
        <v>500</v>
      </c>
    </row>
    <row r="13">
      <c r="A13" s="38" t="s">
        <v>533</v>
      </c>
      <c r="B13" s="38" t="s">
        <v>42</v>
      </c>
      <c r="C13" s="38" t="s">
        <v>502</v>
      </c>
      <c r="D13" s="39">
        <v>3000.0</v>
      </c>
      <c r="E13" s="38" t="s">
        <v>503</v>
      </c>
      <c r="F13" s="39">
        <v>3000.0</v>
      </c>
      <c r="G13" s="40">
        <f t="shared" si="1"/>
        <v>2</v>
      </c>
      <c r="H13" s="39">
        <f t="shared" si="2"/>
        <v>360</v>
      </c>
      <c r="I13" s="43" t="s">
        <v>513</v>
      </c>
      <c r="J13" s="39">
        <v>6500.0</v>
      </c>
      <c r="K13" s="38" t="s">
        <v>491</v>
      </c>
      <c r="L13" s="38" t="s">
        <v>492</v>
      </c>
      <c r="M13" s="38">
        <v>2.0</v>
      </c>
      <c r="N13" s="41" t="s">
        <v>493</v>
      </c>
      <c r="O13" s="38" t="s">
        <v>494</v>
      </c>
      <c r="P13" s="38" t="s">
        <v>495</v>
      </c>
      <c r="Q13" s="42" t="s">
        <v>530</v>
      </c>
      <c r="R13" s="38" t="s">
        <v>497</v>
      </c>
      <c r="S13" s="41" t="s">
        <v>531</v>
      </c>
      <c r="T13" s="41" t="s">
        <v>532</v>
      </c>
      <c r="U13" s="38" t="s">
        <v>497</v>
      </c>
      <c r="V13" s="38" t="s">
        <v>497</v>
      </c>
      <c r="W13" s="40" t="s">
        <v>500</v>
      </c>
    </row>
    <row r="14">
      <c r="A14" s="38" t="s">
        <v>534</v>
      </c>
      <c r="B14" s="38" t="s">
        <v>45</v>
      </c>
      <c r="C14" s="38" t="s">
        <v>488</v>
      </c>
      <c r="D14" s="39">
        <v>3000.0</v>
      </c>
      <c r="E14" s="38" t="s">
        <v>535</v>
      </c>
      <c r="F14" s="39">
        <v>3000.0</v>
      </c>
      <c r="G14" s="40">
        <f t="shared" si="1"/>
        <v>3.5</v>
      </c>
      <c r="H14" s="39">
        <f t="shared" si="2"/>
        <v>630</v>
      </c>
      <c r="I14" s="44" t="s">
        <v>536</v>
      </c>
      <c r="J14" s="39">
        <v>8500.0</v>
      </c>
      <c r="K14" s="38" t="s">
        <v>491</v>
      </c>
      <c r="L14" s="38" t="s">
        <v>507</v>
      </c>
      <c r="M14" s="38">
        <v>2.0</v>
      </c>
      <c r="N14" s="41" t="s">
        <v>537</v>
      </c>
      <c r="O14" s="38" t="s">
        <v>494</v>
      </c>
      <c r="P14" s="38" t="s">
        <v>495</v>
      </c>
      <c r="Q14" s="42" t="s">
        <v>538</v>
      </c>
      <c r="R14" s="38" t="s">
        <v>497</v>
      </c>
      <c r="S14" s="41" t="s">
        <v>539</v>
      </c>
      <c r="T14" s="41" t="s">
        <v>499</v>
      </c>
      <c r="U14" s="38" t="s">
        <v>497</v>
      </c>
      <c r="V14" s="38" t="s">
        <v>497</v>
      </c>
      <c r="W14" s="40" t="s">
        <v>500</v>
      </c>
    </row>
    <row r="15">
      <c r="A15" s="38" t="s">
        <v>540</v>
      </c>
      <c r="B15" s="38" t="s">
        <v>45</v>
      </c>
      <c r="C15" s="38" t="s">
        <v>502</v>
      </c>
      <c r="D15" s="39">
        <v>3000.0</v>
      </c>
      <c r="E15" s="38" t="s">
        <v>503</v>
      </c>
      <c r="F15" s="39">
        <v>3000.0</v>
      </c>
      <c r="G15" s="40">
        <f t="shared" si="1"/>
        <v>3.5</v>
      </c>
      <c r="H15" s="39">
        <f t="shared" si="2"/>
        <v>630</v>
      </c>
      <c r="I15" s="44" t="s">
        <v>536</v>
      </c>
      <c r="J15" s="39">
        <v>8000.0</v>
      </c>
      <c r="K15" s="38" t="s">
        <v>491</v>
      </c>
      <c r="L15" s="38" t="s">
        <v>507</v>
      </c>
      <c r="M15" s="38">
        <v>2.0</v>
      </c>
      <c r="N15" s="41" t="s">
        <v>537</v>
      </c>
      <c r="O15" s="38" t="s">
        <v>494</v>
      </c>
      <c r="P15" s="38" t="s">
        <v>495</v>
      </c>
      <c r="Q15" s="42" t="s">
        <v>538</v>
      </c>
      <c r="R15" s="38" t="s">
        <v>497</v>
      </c>
      <c r="S15" s="41" t="s">
        <v>539</v>
      </c>
      <c r="T15" s="41" t="s">
        <v>499</v>
      </c>
      <c r="U15" s="38" t="s">
        <v>497</v>
      </c>
      <c r="V15" s="38" t="s">
        <v>497</v>
      </c>
      <c r="W15" s="40" t="s">
        <v>500</v>
      </c>
    </row>
    <row r="16">
      <c r="A16" s="38" t="s">
        <v>541</v>
      </c>
      <c r="B16" s="38" t="s">
        <v>48</v>
      </c>
      <c r="C16" s="38" t="s">
        <v>488</v>
      </c>
      <c r="D16" s="39">
        <v>4000.0</v>
      </c>
      <c r="E16" s="38" t="s">
        <v>518</v>
      </c>
      <c r="F16" s="39">
        <v>4000.0</v>
      </c>
      <c r="G16" s="40">
        <f t="shared" si="1"/>
        <v>9</v>
      </c>
      <c r="H16" s="39">
        <f t="shared" si="2"/>
        <v>1620</v>
      </c>
      <c r="I16" s="44" t="s">
        <v>513</v>
      </c>
      <c r="J16" s="39">
        <v>7000.0</v>
      </c>
      <c r="K16" s="38" t="s">
        <v>514</v>
      </c>
      <c r="L16" s="38" t="s">
        <v>507</v>
      </c>
      <c r="M16" s="38">
        <v>2.0</v>
      </c>
      <c r="N16" s="41" t="s">
        <v>493</v>
      </c>
      <c r="O16" s="38" t="s">
        <v>494</v>
      </c>
      <c r="P16" s="38" t="s">
        <v>495</v>
      </c>
      <c r="Q16" s="42" t="s">
        <v>538</v>
      </c>
      <c r="R16" s="38" t="s">
        <v>497</v>
      </c>
      <c r="S16" s="41" t="s">
        <v>542</v>
      </c>
      <c r="T16" s="41" t="s">
        <v>499</v>
      </c>
      <c r="U16" s="38" t="s">
        <v>497</v>
      </c>
      <c r="V16" s="38" t="s">
        <v>497</v>
      </c>
      <c r="W16" s="40" t="s">
        <v>500</v>
      </c>
    </row>
    <row r="17">
      <c r="A17" s="38" t="s">
        <v>543</v>
      </c>
      <c r="B17" s="38" t="s">
        <v>48</v>
      </c>
      <c r="C17" s="38" t="s">
        <v>502</v>
      </c>
      <c r="D17" s="39">
        <v>4000.0</v>
      </c>
      <c r="E17" s="38" t="s">
        <v>503</v>
      </c>
      <c r="F17" s="39">
        <v>4000.0</v>
      </c>
      <c r="G17" s="40">
        <f t="shared" si="1"/>
        <v>9</v>
      </c>
      <c r="H17" s="39">
        <f t="shared" si="2"/>
        <v>1620</v>
      </c>
      <c r="I17" s="44" t="s">
        <v>513</v>
      </c>
      <c r="J17" s="39">
        <v>7000.0</v>
      </c>
      <c r="K17" s="38" t="s">
        <v>514</v>
      </c>
      <c r="L17" s="38" t="s">
        <v>507</v>
      </c>
      <c r="M17" s="38">
        <v>2.0</v>
      </c>
      <c r="N17" s="41" t="s">
        <v>493</v>
      </c>
      <c r="O17" s="38" t="s">
        <v>494</v>
      </c>
      <c r="P17" s="38" t="s">
        <v>495</v>
      </c>
      <c r="Q17" s="42" t="s">
        <v>538</v>
      </c>
      <c r="R17" s="38" t="s">
        <v>497</v>
      </c>
      <c r="S17" s="41" t="s">
        <v>542</v>
      </c>
      <c r="T17" s="41" t="s">
        <v>499</v>
      </c>
      <c r="U17" s="38" t="s">
        <v>497</v>
      </c>
      <c r="V17" s="38" t="s">
        <v>497</v>
      </c>
      <c r="W17" s="40" t="s">
        <v>500</v>
      </c>
    </row>
    <row r="18">
      <c r="A18" s="38" t="s">
        <v>544</v>
      </c>
      <c r="B18" s="38" t="s">
        <v>50</v>
      </c>
      <c r="C18" s="38" t="s">
        <v>488</v>
      </c>
      <c r="D18" s="39">
        <v>2000.0</v>
      </c>
      <c r="E18" s="38" t="s">
        <v>518</v>
      </c>
      <c r="F18" s="39">
        <v>2000.0</v>
      </c>
      <c r="G18" s="40">
        <f t="shared" si="1"/>
        <v>3</v>
      </c>
      <c r="H18" s="39">
        <f t="shared" si="2"/>
        <v>540</v>
      </c>
      <c r="I18" s="44" t="s">
        <v>513</v>
      </c>
      <c r="J18" s="39">
        <v>7000.0</v>
      </c>
      <c r="K18" s="38" t="s">
        <v>491</v>
      </c>
      <c r="L18" s="38" t="s">
        <v>507</v>
      </c>
      <c r="M18" s="38">
        <v>2.0</v>
      </c>
      <c r="N18" s="41" t="s">
        <v>493</v>
      </c>
      <c r="O18" s="38" t="s">
        <v>494</v>
      </c>
      <c r="P18" s="38" t="s">
        <v>495</v>
      </c>
      <c r="Q18" s="42" t="s">
        <v>504</v>
      </c>
      <c r="R18" s="38" t="s">
        <v>497</v>
      </c>
      <c r="S18" s="41" t="s">
        <v>545</v>
      </c>
      <c r="T18" s="41" t="s">
        <v>532</v>
      </c>
      <c r="U18" s="38" t="s">
        <v>497</v>
      </c>
      <c r="V18" s="38" t="s">
        <v>497</v>
      </c>
      <c r="W18" s="40" t="s">
        <v>500</v>
      </c>
    </row>
    <row r="19">
      <c r="A19" s="38" t="s">
        <v>546</v>
      </c>
      <c r="B19" s="38" t="s">
        <v>50</v>
      </c>
      <c r="C19" s="38" t="s">
        <v>502</v>
      </c>
      <c r="D19" s="39">
        <v>2000.0</v>
      </c>
      <c r="E19" s="38" t="s">
        <v>503</v>
      </c>
      <c r="F19" s="39">
        <v>2000.0</v>
      </c>
      <c r="G19" s="40">
        <f t="shared" si="1"/>
        <v>3</v>
      </c>
      <c r="H19" s="39">
        <f t="shared" si="2"/>
        <v>540</v>
      </c>
      <c r="I19" s="44" t="s">
        <v>513</v>
      </c>
      <c r="J19" s="39">
        <v>7000.0</v>
      </c>
      <c r="K19" s="38" t="s">
        <v>491</v>
      </c>
      <c r="L19" s="38" t="s">
        <v>507</v>
      </c>
      <c r="M19" s="38">
        <v>2.0</v>
      </c>
      <c r="N19" s="41" t="s">
        <v>493</v>
      </c>
      <c r="O19" s="38" t="s">
        <v>494</v>
      </c>
      <c r="P19" s="38" t="s">
        <v>495</v>
      </c>
      <c r="Q19" s="42" t="s">
        <v>504</v>
      </c>
      <c r="R19" s="38" t="s">
        <v>497</v>
      </c>
      <c r="S19" s="41" t="s">
        <v>545</v>
      </c>
      <c r="T19" s="41" t="s">
        <v>532</v>
      </c>
      <c r="U19" s="38" t="s">
        <v>497</v>
      </c>
      <c r="V19" s="38" t="s">
        <v>497</v>
      </c>
      <c r="W19" s="40" t="s">
        <v>500</v>
      </c>
    </row>
    <row r="20">
      <c r="A20" s="38" t="s">
        <v>547</v>
      </c>
      <c r="B20" s="38" t="s">
        <v>52</v>
      </c>
      <c r="C20" s="38" t="s">
        <v>488</v>
      </c>
      <c r="D20" s="39">
        <v>4000.0</v>
      </c>
      <c r="E20" s="38" t="s">
        <v>518</v>
      </c>
      <c r="F20" s="39">
        <v>4000.0</v>
      </c>
      <c r="G20" s="40">
        <f t="shared" si="1"/>
        <v>9</v>
      </c>
      <c r="H20" s="39">
        <f t="shared" si="2"/>
        <v>1620</v>
      </c>
      <c r="I20" s="44" t="s">
        <v>536</v>
      </c>
      <c r="J20" s="39">
        <v>7000.0</v>
      </c>
      <c r="K20" s="38" t="s">
        <v>514</v>
      </c>
      <c r="L20" s="38" t="s">
        <v>492</v>
      </c>
      <c r="M20" s="38">
        <v>2.0</v>
      </c>
      <c r="N20" s="41" t="s">
        <v>548</v>
      </c>
      <c r="O20" s="38" t="s">
        <v>494</v>
      </c>
      <c r="P20" s="38" t="s">
        <v>495</v>
      </c>
      <c r="Q20" s="42" t="s">
        <v>538</v>
      </c>
      <c r="R20" s="38" t="s">
        <v>497</v>
      </c>
      <c r="S20" s="41" t="s">
        <v>531</v>
      </c>
      <c r="T20" s="41" t="s">
        <v>549</v>
      </c>
      <c r="U20" s="38" t="s">
        <v>497</v>
      </c>
      <c r="V20" s="38" t="s">
        <v>497</v>
      </c>
      <c r="W20" s="40" t="s">
        <v>500</v>
      </c>
    </row>
    <row r="21" ht="15.75" customHeight="1">
      <c r="A21" s="38" t="s">
        <v>550</v>
      </c>
      <c r="B21" s="38" t="s">
        <v>52</v>
      </c>
      <c r="C21" s="38" t="s">
        <v>502</v>
      </c>
      <c r="D21" s="39">
        <v>4000.0</v>
      </c>
      <c r="E21" s="38" t="s">
        <v>503</v>
      </c>
      <c r="F21" s="39">
        <v>4000.0</v>
      </c>
      <c r="G21" s="40">
        <f t="shared" si="1"/>
        <v>9</v>
      </c>
      <c r="H21" s="39">
        <f t="shared" si="2"/>
        <v>1620</v>
      </c>
      <c r="I21" s="44" t="s">
        <v>536</v>
      </c>
      <c r="J21" s="39">
        <v>7000.0</v>
      </c>
      <c r="K21" s="38" t="s">
        <v>514</v>
      </c>
      <c r="L21" s="38" t="s">
        <v>492</v>
      </c>
      <c r="M21" s="38">
        <v>2.0</v>
      </c>
      <c r="N21" s="41" t="s">
        <v>537</v>
      </c>
      <c r="O21" s="38" t="s">
        <v>494</v>
      </c>
      <c r="P21" s="38" t="s">
        <v>495</v>
      </c>
      <c r="Q21" s="42" t="s">
        <v>538</v>
      </c>
      <c r="R21" s="38" t="s">
        <v>497</v>
      </c>
      <c r="S21" s="41" t="s">
        <v>531</v>
      </c>
      <c r="T21" s="41" t="s">
        <v>532</v>
      </c>
      <c r="U21" s="38" t="s">
        <v>497</v>
      </c>
      <c r="V21" s="38" t="s">
        <v>497</v>
      </c>
      <c r="W21" s="40" t="s">
        <v>500</v>
      </c>
    </row>
    <row r="22" ht="15.75" customHeight="1">
      <c r="A22" s="38" t="s">
        <v>551</v>
      </c>
      <c r="B22" s="38" t="s">
        <v>54</v>
      </c>
      <c r="C22" s="38" t="s">
        <v>488</v>
      </c>
      <c r="D22" s="39">
        <v>1000.0</v>
      </c>
      <c r="E22" s="38" t="s">
        <v>489</v>
      </c>
      <c r="F22" s="39">
        <v>1000.0</v>
      </c>
      <c r="G22" s="40">
        <f t="shared" si="1"/>
        <v>4</v>
      </c>
      <c r="H22" s="39">
        <f t="shared" si="2"/>
        <v>720</v>
      </c>
      <c r="I22" s="44" t="s">
        <v>524</v>
      </c>
      <c r="J22" s="39">
        <v>5000.0</v>
      </c>
      <c r="K22" s="38" t="s">
        <v>491</v>
      </c>
      <c r="L22" s="38" t="s">
        <v>507</v>
      </c>
      <c r="M22" s="38">
        <v>2.0</v>
      </c>
      <c r="N22" s="41" t="s">
        <v>493</v>
      </c>
      <c r="O22" s="38" t="s">
        <v>494</v>
      </c>
      <c r="P22" s="38" t="s">
        <v>495</v>
      </c>
      <c r="Q22" s="42" t="s">
        <v>538</v>
      </c>
      <c r="R22" s="38" t="s">
        <v>497</v>
      </c>
      <c r="S22" s="41" t="s">
        <v>552</v>
      </c>
      <c r="T22" s="41" t="s">
        <v>553</v>
      </c>
      <c r="U22" s="38" t="s">
        <v>497</v>
      </c>
      <c r="V22" s="38" t="s">
        <v>497</v>
      </c>
      <c r="W22" s="40" t="s">
        <v>500</v>
      </c>
    </row>
    <row r="23" ht="15.75" customHeight="1">
      <c r="A23" s="38" t="s">
        <v>554</v>
      </c>
      <c r="B23" s="38" t="s">
        <v>54</v>
      </c>
      <c r="C23" s="38" t="s">
        <v>502</v>
      </c>
      <c r="D23" s="39">
        <v>1000.0</v>
      </c>
      <c r="E23" s="38" t="s">
        <v>503</v>
      </c>
      <c r="F23" s="39">
        <v>1000.0</v>
      </c>
      <c r="G23" s="40">
        <f t="shared" si="1"/>
        <v>4</v>
      </c>
      <c r="H23" s="39">
        <f t="shared" si="2"/>
        <v>720</v>
      </c>
      <c r="I23" s="44" t="s">
        <v>524</v>
      </c>
      <c r="J23" s="39">
        <v>5000.0</v>
      </c>
      <c r="K23" s="38" t="s">
        <v>491</v>
      </c>
      <c r="L23" s="38" t="s">
        <v>507</v>
      </c>
      <c r="M23" s="38">
        <v>2.0</v>
      </c>
      <c r="N23" s="41" t="s">
        <v>493</v>
      </c>
      <c r="O23" s="38" t="s">
        <v>494</v>
      </c>
      <c r="P23" s="38" t="s">
        <v>495</v>
      </c>
      <c r="Q23" s="42" t="s">
        <v>538</v>
      </c>
      <c r="R23" s="38" t="s">
        <v>497</v>
      </c>
      <c r="S23" s="41" t="s">
        <v>552</v>
      </c>
      <c r="T23" s="41" t="s">
        <v>553</v>
      </c>
      <c r="U23" s="38" t="s">
        <v>497</v>
      </c>
      <c r="V23" s="38" t="s">
        <v>497</v>
      </c>
      <c r="W23" s="40" t="s">
        <v>500</v>
      </c>
    </row>
    <row r="24" ht="15.75" customHeight="1">
      <c r="A24" s="38" t="s">
        <v>555</v>
      </c>
      <c r="B24" s="38" t="s">
        <v>59</v>
      </c>
      <c r="C24" s="38" t="s">
        <v>488</v>
      </c>
      <c r="D24" s="39">
        <v>3000.0</v>
      </c>
      <c r="E24" s="38" t="s">
        <v>489</v>
      </c>
      <c r="F24" s="39">
        <v>3000.0</v>
      </c>
      <c r="G24" s="40">
        <f t="shared" si="1"/>
        <v>8</v>
      </c>
      <c r="H24" s="39">
        <f t="shared" si="2"/>
        <v>1440</v>
      </c>
      <c r="I24" s="44" t="s">
        <v>506</v>
      </c>
      <c r="J24" s="39">
        <v>6500.0</v>
      </c>
      <c r="K24" s="38" t="s">
        <v>514</v>
      </c>
      <c r="L24" s="38" t="s">
        <v>492</v>
      </c>
      <c r="M24" s="38">
        <v>2.0</v>
      </c>
      <c r="N24" s="41" t="s">
        <v>537</v>
      </c>
      <c r="O24" s="38" t="s">
        <v>494</v>
      </c>
      <c r="P24" s="38" t="s">
        <v>495</v>
      </c>
      <c r="Q24" s="42" t="s">
        <v>556</v>
      </c>
      <c r="R24" s="38" t="s">
        <v>497</v>
      </c>
      <c r="S24" s="41" t="s">
        <v>557</v>
      </c>
      <c r="T24" s="41" t="s">
        <v>558</v>
      </c>
      <c r="U24" s="38" t="s">
        <v>497</v>
      </c>
      <c r="V24" s="38" t="s">
        <v>497</v>
      </c>
      <c r="W24" s="40" t="s">
        <v>500</v>
      </c>
    </row>
    <row r="25" ht="15.75" customHeight="1">
      <c r="A25" s="38" t="s">
        <v>559</v>
      </c>
      <c r="B25" s="38" t="s">
        <v>59</v>
      </c>
      <c r="C25" s="38" t="s">
        <v>502</v>
      </c>
      <c r="D25" s="39">
        <v>3000.0</v>
      </c>
      <c r="E25" s="38" t="s">
        <v>503</v>
      </c>
      <c r="F25" s="39">
        <v>3000.0</v>
      </c>
      <c r="G25" s="40">
        <f t="shared" si="1"/>
        <v>8</v>
      </c>
      <c r="H25" s="39">
        <f t="shared" si="2"/>
        <v>1440</v>
      </c>
      <c r="I25" s="44" t="s">
        <v>506</v>
      </c>
      <c r="J25" s="39">
        <v>7000.0</v>
      </c>
      <c r="K25" s="38" t="s">
        <v>514</v>
      </c>
      <c r="L25" s="38" t="s">
        <v>492</v>
      </c>
      <c r="M25" s="38">
        <v>2.0</v>
      </c>
      <c r="N25" s="41" t="s">
        <v>537</v>
      </c>
      <c r="O25" s="38" t="s">
        <v>494</v>
      </c>
      <c r="P25" s="38" t="s">
        <v>495</v>
      </c>
      <c r="Q25" s="42" t="s">
        <v>556</v>
      </c>
      <c r="R25" s="38" t="s">
        <v>497</v>
      </c>
      <c r="S25" s="41" t="s">
        <v>560</v>
      </c>
      <c r="T25" s="41" t="s">
        <v>558</v>
      </c>
      <c r="U25" s="38" t="s">
        <v>497</v>
      </c>
      <c r="V25" s="38" t="s">
        <v>497</v>
      </c>
      <c r="W25" s="40" t="s">
        <v>500</v>
      </c>
    </row>
    <row r="26" ht="15.75" customHeight="1">
      <c r="A26" s="38" t="s">
        <v>561</v>
      </c>
      <c r="B26" s="38" t="s">
        <v>61</v>
      </c>
      <c r="C26" s="38" t="s">
        <v>488</v>
      </c>
      <c r="D26" s="39">
        <v>3000.0</v>
      </c>
      <c r="E26" s="38" t="s">
        <v>518</v>
      </c>
      <c r="F26" s="39">
        <v>3000.0</v>
      </c>
      <c r="G26" s="40">
        <f t="shared" si="1"/>
        <v>6</v>
      </c>
      <c r="H26" s="39">
        <f t="shared" si="2"/>
        <v>1080</v>
      </c>
      <c r="I26" s="44" t="s">
        <v>536</v>
      </c>
      <c r="J26" s="39">
        <v>7000.0</v>
      </c>
      <c r="K26" s="38" t="s">
        <v>514</v>
      </c>
      <c r="L26" s="38" t="s">
        <v>507</v>
      </c>
      <c r="M26" s="38">
        <v>2.0</v>
      </c>
      <c r="N26" s="41" t="s">
        <v>537</v>
      </c>
      <c r="O26" s="38" t="s">
        <v>494</v>
      </c>
      <c r="P26" s="38" t="s">
        <v>495</v>
      </c>
      <c r="Q26" s="42" t="s">
        <v>562</v>
      </c>
      <c r="R26" s="38" t="s">
        <v>497</v>
      </c>
      <c r="S26" s="41" t="s">
        <v>563</v>
      </c>
      <c r="T26" s="41" t="s">
        <v>558</v>
      </c>
      <c r="U26" s="38" t="s">
        <v>497</v>
      </c>
      <c r="V26" s="38" t="s">
        <v>497</v>
      </c>
      <c r="W26" s="40" t="s">
        <v>500</v>
      </c>
    </row>
    <row r="27" ht="15.75" customHeight="1">
      <c r="A27" s="38" t="s">
        <v>564</v>
      </c>
      <c r="B27" s="38" t="s">
        <v>61</v>
      </c>
      <c r="C27" s="38" t="s">
        <v>502</v>
      </c>
      <c r="D27" s="39">
        <v>3000.0</v>
      </c>
      <c r="E27" s="38" t="s">
        <v>503</v>
      </c>
      <c r="F27" s="39">
        <v>3000.0</v>
      </c>
      <c r="G27" s="40">
        <f t="shared" si="1"/>
        <v>6</v>
      </c>
      <c r="H27" s="39">
        <f t="shared" si="2"/>
        <v>1080</v>
      </c>
      <c r="I27" s="44" t="s">
        <v>513</v>
      </c>
      <c r="J27" s="39">
        <v>8000.0</v>
      </c>
      <c r="K27" s="38" t="s">
        <v>514</v>
      </c>
      <c r="L27" s="38" t="s">
        <v>507</v>
      </c>
      <c r="M27" s="38">
        <v>2.0</v>
      </c>
      <c r="N27" s="41" t="s">
        <v>537</v>
      </c>
      <c r="O27" s="38" t="s">
        <v>494</v>
      </c>
      <c r="P27" s="38" t="s">
        <v>495</v>
      </c>
      <c r="Q27" s="42" t="s">
        <v>562</v>
      </c>
      <c r="R27" s="38" t="s">
        <v>497</v>
      </c>
      <c r="S27" s="41" t="s">
        <v>563</v>
      </c>
      <c r="T27" s="41" t="s">
        <v>558</v>
      </c>
      <c r="U27" s="38" t="s">
        <v>497</v>
      </c>
      <c r="V27" s="38" t="s">
        <v>497</v>
      </c>
      <c r="W27" s="40" t="s">
        <v>500</v>
      </c>
    </row>
    <row r="28" ht="15.75" customHeight="1">
      <c r="A28" s="38" t="s">
        <v>565</v>
      </c>
      <c r="B28" s="38" t="s">
        <v>68</v>
      </c>
      <c r="C28" s="38" t="s">
        <v>502</v>
      </c>
      <c r="D28" s="39">
        <v>2500.0</v>
      </c>
      <c r="E28" s="38" t="s">
        <v>503</v>
      </c>
      <c r="F28" s="39">
        <v>2500.0</v>
      </c>
      <c r="G28" s="40">
        <f t="shared" si="1"/>
        <v>7</v>
      </c>
      <c r="H28" s="39">
        <f t="shared" si="2"/>
        <v>1260</v>
      </c>
      <c r="I28" s="44" t="s">
        <v>513</v>
      </c>
      <c r="J28" s="39">
        <v>6500.0</v>
      </c>
      <c r="K28" s="38" t="s">
        <v>566</v>
      </c>
      <c r="L28" s="38" t="s">
        <v>507</v>
      </c>
      <c r="M28" s="38">
        <v>2.0</v>
      </c>
      <c r="N28" s="41" t="s">
        <v>493</v>
      </c>
      <c r="O28" s="38" t="s">
        <v>494</v>
      </c>
      <c r="P28" s="38" t="s">
        <v>495</v>
      </c>
      <c r="Q28" s="42" t="s">
        <v>538</v>
      </c>
      <c r="R28" s="38" t="s">
        <v>497</v>
      </c>
      <c r="S28" s="41" t="s">
        <v>567</v>
      </c>
      <c r="T28" s="41" t="s">
        <v>568</v>
      </c>
      <c r="U28" s="38" t="s">
        <v>497</v>
      </c>
      <c r="V28" s="38" t="s">
        <v>497</v>
      </c>
      <c r="W28" s="40" t="s">
        <v>500</v>
      </c>
    </row>
    <row r="29" ht="15.75" customHeight="1">
      <c r="A29" s="38" t="s">
        <v>569</v>
      </c>
      <c r="B29" s="38" t="s">
        <v>68</v>
      </c>
      <c r="C29" s="38" t="s">
        <v>570</v>
      </c>
      <c r="D29" s="39">
        <v>2500.0</v>
      </c>
      <c r="E29" s="38" t="s">
        <v>571</v>
      </c>
      <c r="F29" s="39">
        <v>2500.0</v>
      </c>
      <c r="G29" s="40">
        <f t="shared" si="1"/>
        <v>7</v>
      </c>
      <c r="H29" s="39">
        <f t="shared" si="2"/>
        <v>1260</v>
      </c>
      <c r="I29" s="44" t="s">
        <v>513</v>
      </c>
      <c r="J29" s="39">
        <v>6500.0</v>
      </c>
      <c r="K29" s="38" t="s">
        <v>566</v>
      </c>
      <c r="L29" s="38" t="s">
        <v>507</v>
      </c>
      <c r="M29" s="38">
        <v>2.0</v>
      </c>
      <c r="N29" s="41" t="s">
        <v>493</v>
      </c>
      <c r="O29" s="38" t="s">
        <v>494</v>
      </c>
      <c r="P29" s="38" t="s">
        <v>495</v>
      </c>
      <c r="Q29" s="42" t="s">
        <v>538</v>
      </c>
      <c r="R29" s="38" t="s">
        <v>497</v>
      </c>
      <c r="S29" s="41" t="s">
        <v>567</v>
      </c>
      <c r="T29" s="41" t="s">
        <v>568</v>
      </c>
      <c r="U29" s="38" t="s">
        <v>497</v>
      </c>
      <c r="V29" s="38" t="s">
        <v>497</v>
      </c>
      <c r="W29" s="40" t="s">
        <v>500</v>
      </c>
    </row>
    <row r="30" ht="15.75" customHeight="1">
      <c r="A30" s="38" t="s">
        <v>572</v>
      </c>
      <c r="B30" s="38" t="s">
        <v>70</v>
      </c>
      <c r="C30" s="38" t="s">
        <v>502</v>
      </c>
      <c r="D30" s="39">
        <v>350.0</v>
      </c>
      <c r="E30" s="38" t="s">
        <v>503</v>
      </c>
      <c r="F30" s="39">
        <v>350.0</v>
      </c>
      <c r="G30" s="40">
        <f t="shared" si="1"/>
        <v>1</v>
      </c>
      <c r="H30" s="39">
        <f t="shared" si="2"/>
        <v>180</v>
      </c>
      <c r="I30" s="45">
        <v>300.0</v>
      </c>
      <c r="J30" s="39">
        <v>6500.0</v>
      </c>
      <c r="K30" s="38" t="s">
        <v>514</v>
      </c>
      <c r="L30" s="38" t="s">
        <v>507</v>
      </c>
      <c r="M30" s="38">
        <v>2.0</v>
      </c>
      <c r="N30" s="41" t="s">
        <v>493</v>
      </c>
      <c r="O30" s="38" t="s">
        <v>494</v>
      </c>
      <c r="P30" s="38" t="s">
        <v>495</v>
      </c>
      <c r="Q30" s="42" t="s">
        <v>530</v>
      </c>
      <c r="R30" s="38" t="s">
        <v>497</v>
      </c>
      <c r="S30" s="41" t="s">
        <v>573</v>
      </c>
      <c r="T30" s="41" t="s">
        <v>574</v>
      </c>
      <c r="U30" s="38" t="s">
        <v>497</v>
      </c>
      <c r="V30" s="38" t="s">
        <v>497</v>
      </c>
      <c r="W30" s="40" t="s">
        <v>500</v>
      </c>
    </row>
    <row r="31" ht="15.75" customHeight="1">
      <c r="A31" s="38" t="s">
        <v>575</v>
      </c>
      <c r="B31" s="38" t="s">
        <v>70</v>
      </c>
      <c r="C31" s="38" t="s">
        <v>570</v>
      </c>
      <c r="D31" s="39">
        <v>350.0</v>
      </c>
      <c r="E31" s="38" t="s">
        <v>512</v>
      </c>
      <c r="F31" s="39">
        <v>350.0</v>
      </c>
      <c r="G31" s="40">
        <f t="shared" si="1"/>
        <v>1</v>
      </c>
      <c r="H31" s="39">
        <f t="shared" si="2"/>
        <v>180</v>
      </c>
      <c r="I31" s="45">
        <v>300.0</v>
      </c>
      <c r="J31" s="39">
        <v>6500.0</v>
      </c>
      <c r="K31" s="38" t="s">
        <v>514</v>
      </c>
      <c r="L31" s="38" t="s">
        <v>507</v>
      </c>
      <c r="M31" s="38">
        <v>2.0</v>
      </c>
      <c r="N31" s="41" t="s">
        <v>493</v>
      </c>
      <c r="O31" s="38" t="s">
        <v>494</v>
      </c>
      <c r="P31" s="38" t="s">
        <v>495</v>
      </c>
      <c r="Q31" s="42" t="s">
        <v>530</v>
      </c>
      <c r="R31" s="38" t="s">
        <v>497</v>
      </c>
      <c r="S31" s="41" t="s">
        <v>573</v>
      </c>
      <c r="T31" s="41" t="s">
        <v>574</v>
      </c>
      <c r="U31" s="38" t="s">
        <v>497</v>
      </c>
      <c r="V31" s="38" t="s">
        <v>497</v>
      </c>
      <c r="W31" s="40" t="s">
        <v>500</v>
      </c>
    </row>
    <row r="32" ht="15.75" customHeight="1">
      <c r="A32" s="38" t="s">
        <v>576</v>
      </c>
      <c r="B32" s="38" t="s">
        <v>72</v>
      </c>
      <c r="C32" s="38" t="s">
        <v>488</v>
      </c>
      <c r="D32" s="39">
        <v>500.0</v>
      </c>
      <c r="E32" s="38" t="s">
        <v>518</v>
      </c>
      <c r="F32" s="39">
        <v>500.0</v>
      </c>
      <c r="G32" s="40">
        <f t="shared" si="1"/>
        <v>3</v>
      </c>
      <c r="H32" s="39">
        <f t="shared" si="2"/>
        <v>540</v>
      </c>
      <c r="I32" s="44" t="s">
        <v>524</v>
      </c>
      <c r="J32" s="39">
        <v>6500.0</v>
      </c>
      <c r="K32" s="38" t="s">
        <v>514</v>
      </c>
      <c r="L32" s="38" t="s">
        <v>507</v>
      </c>
      <c r="M32" s="38">
        <v>2.0</v>
      </c>
      <c r="N32" s="41" t="s">
        <v>493</v>
      </c>
      <c r="O32" s="38" t="s">
        <v>494</v>
      </c>
      <c r="P32" s="38" t="s">
        <v>495</v>
      </c>
      <c r="Q32" s="42" t="s">
        <v>538</v>
      </c>
      <c r="R32" s="38" t="s">
        <v>497</v>
      </c>
      <c r="S32" s="41" t="s">
        <v>577</v>
      </c>
      <c r="T32" s="41" t="s">
        <v>574</v>
      </c>
      <c r="U32" s="38" t="s">
        <v>497</v>
      </c>
      <c r="V32" s="38" t="s">
        <v>497</v>
      </c>
      <c r="W32" s="40" t="s">
        <v>500</v>
      </c>
    </row>
    <row r="33" ht="15.75" customHeight="1">
      <c r="A33" s="38" t="s">
        <v>578</v>
      </c>
      <c r="B33" s="38" t="s">
        <v>72</v>
      </c>
      <c r="C33" s="38" t="s">
        <v>502</v>
      </c>
      <c r="D33" s="39">
        <v>500.0</v>
      </c>
      <c r="E33" s="38" t="s">
        <v>503</v>
      </c>
      <c r="F33" s="39">
        <v>500.0</v>
      </c>
      <c r="G33" s="40">
        <f t="shared" si="1"/>
        <v>4</v>
      </c>
      <c r="H33" s="39">
        <f t="shared" si="2"/>
        <v>720</v>
      </c>
      <c r="I33" s="44" t="s">
        <v>524</v>
      </c>
      <c r="J33" s="39">
        <v>6500.0</v>
      </c>
      <c r="K33" s="38" t="s">
        <v>514</v>
      </c>
      <c r="L33" s="38" t="s">
        <v>507</v>
      </c>
      <c r="M33" s="38">
        <v>2.0</v>
      </c>
      <c r="N33" s="41" t="s">
        <v>493</v>
      </c>
      <c r="O33" s="38" t="s">
        <v>494</v>
      </c>
      <c r="P33" s="38" t="s">
        <v>495</v>
      </c>
      <c r="Q33" s="42" t="s">
        <v>538</v>
      </c>
      <c r="R33" s="38" t="s">
        <v>497</v>
      </c>
      <c r="S33" s="41" t="s">
        <v>577</v>
      </c>
      <c r="T33" s="41" t="s">
        <v>574</v>
      </c>
      <c r="U33" s="38" t="s">
        <v>497</v>
      </c>
      <c r="V33" s="38" t="s">
        <v>497</v>
      </c>
      <c r="W33" s="40" t="s">
        <v>500</v>
      </c>
    </row>
    <row r="34" ht="15.75" customHeight="1">
      <c r="A34" s="38" t="s">
        <v>579</v>
      </c>
      <c r="B34" s="38" t="s">
        <v>74</v>
      </c>
      <c r="C34" s="38" t="s">
        <v>488</v>
      </c>
      <c r="D34" s="39">
        <v>2000.0</v>
      </c>
      <c r="E34" s="38" t="s">
        <v>518</v>
      </c>
      <c r="F34" s="39">
        <v>2000.0</v>
      </c>
      <c r="G34" s="40">
        <f t="shared" si="1"/>
        <v>10</v>
      </c>
      <c r="H34" s="39">
        <f t="shared" si="2"/>
        <v>1800</v>
      </c>
      <c r="I34" s="44" t="s">
        <v>536</v>
      </c>
      <c r="J34" s="39">
        <v>6500.0</v>
      </c>
      <c r="K34" s="38" t="s">
        <v>514</v>
      </c>
      <c r="L34" s="38" t="s">
        <v>507</v>
      </c>
      <c r="M34" s="38">
        <v>2.0</v>
      </c>
      <c r="N34" s="41" t="s">
        <v>537</v>
      </c>
      <c r="O34" s="38" t="s">
        <v>494</v>
      </c>
      <c r="P34" s="38" t="s">
        <v>495</v>
      </c>
      <c r="Q34" s="42" t="s">
        <v>556</v>
      </c>
      <c r="R34" s="38" t="s">
        <v>497</v>
      </c>
      <c r="S34" s="41" t="s">
        <v>557</v>
      </c>
      <c r="T34" s="41" t="s">
        <v>574</v>
      </c>
      <c r="U34" s="38" t="s">
        <v>497</v>
      </c>
      <c r="V34" s="38" t="s">
        <v>497</v>
      </c>
      <c r="W34" s="40" t="s">
        <v>500</v>
      </c>
    </row>
    <row r="35" ht="15.75" customHeight="1">
      <c r="A35" s="38" t="s">
        <v>580</v>
      </c>
      <c r="B35" s="38" t="s">
        <v>74</v>
      </c>
      <c r="C35" s="38" t="s">
        <v>502</v>
      </c>
      <c r="D35" s="39">
        <v>2000.0</v>
      </c>
      <c r="E35" s="38" t="s">
        <v>503</v>
      </c>
      <c r="F35" s="39">
        <v>2000.0</v>
      </c>
      <c r="G35" s="40">
        <f t="shared" si="1"/>
        <v>10</v>
      </c>
      <c r="H35" s="39">
        <f t="shared" si="2"/>
        <v>1800</v>
      </c>
      <c r="I35" s="44" t="s">
        <v>536</v>
      </c>
      <c r="J35" s="39">
        <v>7000.0</v>
      </c>
      <c r="K35" s="38" t="s">
        <v>514</v>
      </c>
      <c r="L35" s="38" t="s">
        <v>507</v>
      </c>
      <c r="M35" s="38">
        <v>2.0</v>
      </c>
      <c r="N35" s="41" t="s">
        <v>537</v>
      </c>
      <c r="O35" s="38" t="s">
        <v>494</v>
      </c>
      <c r="P35" s="38" t="s">
        <v>495</v>
      </c>
      <c r="Q35" s="42" t="s">
        <v>556</v>
      </c>
      <c r="R35" s="38" t="s">
        <v>497</v>
      </c>
      <c r="S35" s="41" t="s">
        <v>557</v>
      </c>
      <c r="T35" s="41" t="s">
        <v>574</v>
      </c>
      <c r="U35" s="38" t="s">
        <v>497</v>
      </c>
      <c r="V35" s="38" t="s">
        <v>497</v>
      </c>
      <c r="W35" s="40" t="s">
        <v>500</v>
      </c>
    </row>
    <row r="36" ht="15.75" customHeight="1">
      <c r="A36" s="38" t="s">
        <v>581</v>
      </c>
      <c r="B36" s="38" t="s">
        <v>77</v>
      </c>
      <c r="C36" s="38" t="s">
        <v>488</v>
      </c>
      <c r="D36" s="39">
        <v>1000.0</v>
      </c>
      <c r="E36" s="38" t="s">
        <v>518</v>
      </c>
      <c r="F36" s="39">
        <v>1000.0</v>
      </c>
      <c r="G36" s="40">
        <f t="shared" si="1"/>
        <v>3</v>
      </c>
      <c r="H36" s="39">
        <f t="shared" si="2"/>
        <v>540</v>
      </c>
      <c r="I36" s="44" t="s">
        <v>536</v>
      </c>
      <c r="J36" s="39">
        <v>6500.0</v>
      </c>
      <c r="K36" s="38" t="s">
        <v>514</v>
      </c>
      <c r="L36" s="38" t="s">
        <v>507</v>
      </c>
      <c r="M36" s="38">
        <v>2.0</v>
      </c>
      <c r="N36" s="41" t="s">
        <v>582</v>
      </c>
      <c r="O36" s="38" t="s">
        <v>494</v>
      </c>
      <c r="P36" s="38" t="s">
        <v>495</v>
      </c>
      <c r="Q36" s="42" t="s">
        <v>538</v>
      </c>
      <c r="R36" s="38" t="s">
        <v>497</v>
      </c>
      <c r="S36" s="41" t="s">
        <v>583</v>
      </c>
      <c r="T36" s="41" t="s">
        <v>574</v>
      </c>
      <c r="U36" s="38" t="s">
        <v>497</v>
      </c>
      <c r="V36" s="38" t="s">
        <v>497</v>
      </c>
      <c r="W36" s="40" t="s">
        <v>500</v>
      </c>
    </row>
    <row r="37" ht="15.75" customHeight="1">
      <c r="A37" s="38" t="s">
        <v>584</v>
      </c>
      <c r="B37" s="38" t="s">
        <v>77</v>
      </c>
      <c r="C37" s="38" t="s">
        <v>502</v>
      </c>
      <c r="D37" s="39">
        <v>1000.0</v>
      </c>
      <c r="E37" s="38" t="s">
        <v>503</v>
      </c>
      <c r="F37" s="39">
        <v>1000.0</v>
      </c>
      <c r="G37" s="40">
        <f t="shared" si="1"/>
        <v>3</v>
      </c>
      <c r="H37" s="39">
        <f t="shared" si="2"/>
        <v>540</v>
      </c>
      <c r="I37" s="44" t="s">
        <v>536</v>
      </c>
      <c r="J37" s="39">
        <v>6500.0</v>
      </c>
      <c r="K37" s="38" t="s">
        <v>514</v>
      </c>
      <c r="L37" s="38" t="s">
        <v>507</v>
      </c>
      <c r="M37" s="38">
        <v>2.0</v>
      </c>
      <c r="N37" s="41" t="s">
        <v>582</v>
      </c>
      <c r="O37" s="38" t="s">
        <v>494</v>
      </c>
      <c r="P37" s="38" t="s">
        <v>495</v>
      </c>
      <c r="Q37" s="42" t="s">
        <v>538</v>
      </c>
      <c r="R37" s="38" t="s">
        <v>497</v>
      </c>
      <c r="S37" s="41" t="s">
        <v>583</v>
      </c>
      <c r="T37" s="41" t="s">
        <v>574</v>
      </c>
      <c r="U37" s="38" t="s">
        <v>497</v>
      </c>
      <c r="V37" s="38" t="s">
        <v>497</v>
      </c>
      <c r="W37" s="40" t="s">
        <v>500</v>
      </c>
    </row>
    <row r="38" ht="15.75" customHeight="1">
      <c r="A38" s="38" t="s">
        <v>585</v>
      </c>
      <c r="B38" s="38" t="s">
        <v>80</v>
      </c>
      <c r="C38" s="38" t="s">
        <v>517</v>
      </c>
      <c r="D38" s="39">
        <v>5000.0</v>
      </c>
      <c r="E38" s="38" t="s">
        <v>535</v>
      </c>
      <c r="F38" s="39">
        <v>5000.0</v>
      </c>
      <c r="G38" s="46">
        <f t="shared" si="1"/>
        <v>11.11111111</v>
      </c>
      <c r="H38" s="39">
        <v>2000.0</v>
      </c>
      <c r="I38" s="38" t="s">
        <v>490</v>
      </c>
      <c r="J38" s="39">
        <v>6500.0</v>
      </c>
      <c r="K38" s="38" t="s">
        <v>514</v>
      </c>
      <c r="L38" s="38" t="s">
        <v>507</v>
      </c>
      <c r="M38" s="38">
        <v>2.0</v>
      </c>
      <c r="N38" s="41" t="s">
        <v>493</v>
      </c>
      <c r="O38" s="38" t="s">
        <v>586</v>
      </c>
      <c r="P38" s="38" t="s">
        <v>495</v>
      </c>
      <c r="Q38" s="42" t="s">
        <v>538</v>
      </c>
      <c r="R38" s="38" t="s">
        <v>497</v>
      </c>
      <c r="S38" s="41" t="s">
        <v>587</v>
      </c>
      <c r="T38" s="41" t="s">
        <v>574</v>
      </c>
      <c r="U38" s="38" t="s">
        <v>497</v>
      </c>
      <c r="V38" s="38" t="s">
        <v>497</v>
      </c>
      <c r="W38" s="40" t="s">
        <v>500</v>
      </c>
    </row>
    <row r="39" ht="15.75" customHeight="1">
      <c r="A39" s="38" t="s">
        <v>588</v>
      </c>
      <c r="B39" s="38" t="s">
        <v>80</v>
      </c>
      <c r="C39" s="38" t="s">
        <v>502</v>
      </c>
      <c r="D39" s="39">
        <v>5000.0</v>
      </c>
      <c r="E39" s="38" t="s">
        <v>512</v>
      </c>
      <c r="F39" s="39">
        <v>5000.0</v>
      </c>
      <c r="G39" s="46">
        <f t="shared" si="1"/>
        <v>11.11111111</v>
      </c>
      <c r="H39" s="39">
        <v>2000.0</v>
      </c>
      <c r="I39" s="38" t="s">
        <v>490</v>
      </c>
      <c r="J39" s="39">
        <v>6500.0</v>
      </c>
      <c r="K39" s="38" t="s">
        <v>514</v>
      </c>
      <c r="L39" s="38" t="s">
        <v>507</v>
      </c>
      <c r="M39" s="38">
        <v>2.0</v>
      </c>
      <c r="N39" s="41" t="s">
        <v>493</v>
      </c>
      <c r="O39" s="38" t="s">
        <v>586</v>
      </c>
      <c r="P39" s="38" t="s">
        <v>495</v>
      </c>
      <c r="Q39" s="42" t="s">
        <v>538</v>
      </c>
      <c r="R39" s="38" t="s">
        <v>497</v>
      </c>
      <c r="S39" s="41" t="s">
        <v>589</v>
      </c>
      <c r="T39" s="41" t="s">
        <v>590</v>
      </c>
      <c r="U39" s="38" t="s">
        <v>497</v>
      </c>
      <c r="V39" s="38" t="s">
        <v>497</v>
      </c>
      <c r="W39" s="40" t="s">
        <v>591</v>
      </c>
    </row>
    <row r="40" ht="15.75" customHeight="1">
      <c r="A40" s="38" t="s">
        <v>592</v>
      </c>
      <c r="B40" s="38" t="s">
        <v>85</v>
      </c>
      <c r="C40" s="38" t="s">
        <v>488</v>
      </c>
      <c r="D40" s="39">
        <v>1500.0</v>
      </c>
      <c r="E40" s="38" t="s">
        <v>535</v>
      </c>
      <c r="F40" s="39">
        <v>1500.0</v>
      </c>
      <c r="G40" s="46">
        <f t="shared" si="1"/>
        <v>6</v>
      </c>
      <c r="H40" s="47">
        <f t="shared" ref="H40:H41" si="3">6*180</f>
        <v>1080</v>
      </c>
      <c r="I40" s="38" t="s">
        <v>513</v>
      </c>
      <c r="J40" s="39">
        <v>6500.0</v>
      </c>
      <c r="K40" s="38" t="s">
        <v>514</v>
      </c>
      <c r="L40" s="38" t="s">
        <v>492</v>
      </c>
      <c r="M40" s="38">
        <v>2.0</v>
      </c>
      <c r="N40" s="41" t="s">
        <v>493</v>
      </c>
      <c r="O40" s="38" t="s">
        <v>586</v>
      </c>
      <c r="P40" s="38" t="s">
        <v>495</v>
      </c>
      <c r="Q40" s="42" t="s">
        <v>504</v>
      </c>
      <c r="R40" s="38" t="s">
        <v>497</v>
      </c>
      <c r="S40" s="41" t="s">
        <v>593</v>
      </c>
      <c r="T40" s="41" t="s">
        <v>590</v>
      </c>
      <c r="U40" s="38" t="s">
        <v>497</v>
      </c>
      <c r="V40" s="38" t="s">
        <v>491</v>
      </c>
      <c r="W40" s="40" t="s">
        <v>594</v>
      </c>
    </row>
    <row r="41" ht="15.75" customHeight="1">
      <c r="A41" s="38" t="s">
        <v>595</v>
      </c>
      <c r="B41" s="38" t="s">
        <v>85</v>
      </c>
      <c r="C41" s="38" t="s">
        <v>502</v>
      </c>
      <c r="D41" s="39">
        <v>1500.0</v>
      </c>
      <c r="E41" s="38" t="s">
        <v>596</v>
      </c>
      <c r="F41" s="39">
        <v>1500.0</v>
      </c>
      <c r="G41" s="46">
        <f t="shared" si="1"/>
        <v>6</v>
      </c>
      <c r="H41" s="47">
        <f t="shared" si="3"/>
        <v>1080</v>
      </c>
      <c r="I41" s="38" t="s">
        <v>513</v>
      </c>
      <c r="J41" s="39">
        <v>6500.0</v>
      </c>
      <c r="K41" s="38" t="s">
        <v>514</v>
      </c>
      <c r="L41" s="38" t="s">
        <v>492</v>
      </c>
      <c r="M41" s="38">
        <v>2.0</v>
      </c>
      <c r="N41" s="41" t="s">
        <v>493</v>
      </c>
      <c r="O41" s="38" t="s">
        <v>586</v>
      </c>
      <c r="P41" s="38" t="s">
        <v>495</v>
      </c>
      <c r="Q41" s="42" t="s">
        <v>504</v>
      </c>
      <c r="R41" s="38" t="s">
        <v>497</v>
      </c>
      <c r="S41" s="41" t="s">
        <v>597</v>
      </c>
      <c r="T41" s="41" t="s">
        <v>590</v>
      </c>
      <c r="U41" s="38" t="s">
        <v>497</v>
      </c>
      <c r="V41" s="38" t="s">
        <v>491</v>
      </c>
      <c r="W41" s="40" t="s">
        <v>594</v>
      </c>
    </row>
    <row r="42" ht="15.75" customHeight="1">
      <c r="A42" s="38" t="s">
        <v>598</v>
      </c>
      <c r="B42" s="38" t="s">
        <v>87</v>
      </c>
      <c r="C42" s="38" t="s">
        <v>488</v>
      </c>
      <c r="D42" s="39">
        <v>1500.0</v>
      </c>
      <c r="E42" s="38" t="s">
        <v>599</v>
      </c>
      <c r="F42" s="39">
        <v>1500.0</v>
      </c>
      <c r="G42" s="46">
        <f t="shared" si="1"/>
        <v>1.666666667</v>
      </c>
      <c r="H42" s="39">
        <v>300.0</v>
      </c>
      <c r="I42" s="38" t="s">
        <v>600</v>
      </c>
      <c r="J42" s="39">
        <v>6500.0</v>
      </c>
      <c r="K42" s="38" t="s">
        <v>491</v>
      </c>
      <c r="L42" s="38" t="s">
        <v>507</v>
      </c>
      <c r="M42" s="38">
        <v>2.0</v>
      </c>
      <c r="N42" s="41" t="s">
        <v>493</v>
      </c>
      <c r="O42" s="38" t="s">
        <v>586</v>
      </c>
      <c r="P42" s="38" t="s">
        <v>495</v>
      </c>
      <c r="Q42" s="42" t="s">
        <v>504</v>
      </c>
      <c r="R42" s="38" t="s">
        <v>497</v>
      </c>
      <c r="S42" s="41" t="s">
        <v>593</v>
      </c>
      <c r="T42" s="41" t="s">
        <v>601</v>
      </c>
      <c r="U42" s="38" t="s">
        <v>497</v>
      </c>
      <c r="V42" s="38" t="s">
        <v>497</v>
      </c>
      <c r="W42" s="40" t="s">
        <v>602</v>
      </c>
    </row>
    <row r="43" ht="15.75" customHeight="1">
      <c r="A43" s="38" t="s">
        <v>603</v>
      </c>
      <c r="B43" s="38" t="s">
        <v>91</v>
      </c>
      <c r="C43" s="38" t="s">
        <v>488</v>
      </c>
      <c r="D43" s="39">
        <v>1300.0</v>
      </c>
      <c r="E43" s="38" t="s">
        <v>518</v>
      </c>
      <c r="F43" s="39">
        <v>1300.0</v>
      </c>
      <c r="G43" s="46">
        <f t="shared" si="1"/>
        <v>4.888888889</v>
      </c>
      <c r="H43" s="39">
        <v>880.0</v>
      </c>
      <c r="I43" s="38" t="s">
        <v>513</v>
      </c>
      <c r="J43" s="39">
        <v>6500.0</v>
      </c>
      <c r="K43" s="38" t="s">
        <v>514</v>
      </c>
      <c r="L43" s="38" t="s">
        <v>507</v>
      </c>
      <c r="M43" s="38">
        <v>2.0</v>
      </c>
      <c r="N43" s="41" t="s">
        <v>493</v>
      </c>
      <c r="O43" s="38" t="s">
        <v>586</v>
      </c>
      <c r="P43" s="38" t="s">
        <v>495</v>
      </c>
      <c r="Q43" s="42" t="s">
        <v>538</v>
      </c>
      <c r="R43" s="38" t="s">
        <v>497</v>
      </c>
      <c r="S43" s="41" t="s">
        <v>604</v>
      </c>
      <c r="T43" s="41" t="s">
        <v>532</v>
      </c>
      <c r="U43" s="38" t="s">
        <v>497</v>
      </c>
      <c r="V43" s="38" t="s">
        <v>497</v>
      </c>
      <c r="W43" s="40" t="s">
        <v>500</v>
      </c>
    </row>
    <row r="44" ht="15.75" customHeight="1">
      <c r="A44" s="38" t="s">
        <v>605</v>
      </c>
      <c r="B44" s="38" t="s">
        <v>91</v>
      </c>
      <c r="C44" s="38" t="s">
        <v>502</v>
      </c>
      <c r="D44" s="39">
        <v>1300.0</v>
      </c>
      <c r="E44" s="38" t="s">
        <v>596</v>
      </c>
      <c r="F44" s="39">
        <v>1300.0</v>
      </c>
      <c r="G44" s="46">
        <f t="shared" si="1"/>
        <v>4.888888889</v>
      </c>
      <c r="H44" s="39">
        <v>880.0</v>
      </c>
      <c r="I44" s="38" t="s">
        <v>513</v>
      </c>
      <c r="J44" s="39">
        <v>6500.0</v>
      </c>
      <c r="K44" s="38" t="s">
        <v>514</v>
      </c>
      <c r="L44" s="38" t="s">
        <v>507</v>
      </c>
      <c r="M44" s="38">
        <v>2.0</v>
      </c>
      <c r="N44" s="41" t="s">
        <v>493</v>
      </c>
      <c r="O44" s="38" t="s">
        <v>586</v>
      </c>
      <c r="P44" s="38" t="s">
        <v>495</v>
      </c>
      <c r="Q44" s="42" t="s">
        <v>538</v>
      </c>
      <c r="R44" s="38" t="s">
        <v>497</v>
      </c>
      <c r="S44" s="41" t="s">
        <v>604</v>
      </c>
      <c r="T44" s="41" t="s">
        <v>532</v>
      </c>
      <c r="U44" s="38" t="s">
        <v>497</v>
      </c>
      <c r="V44" s="38" t="s">
        <v>497</v>
      </c>
      <c r="W44" s="40" t="s">
        <v>500</v>
      </c>
    </row>
    <row r="45" ht="15.75" customHeight="1">
      <c r="A45" s="38" t="s">
        <v>606</v>
      </c>
      <c r="B45" s="38" t="s">
        <v>87</v>
      </c>
      <c r="C45" s="38" t="s">
        <v>502</v>
      </c>
      <c r="D45" s="39">
        <v>1500.0</v>
      </c>
      <c r="E45" s="38" t="s">
        <v>596</v>
      </c>
      <c r="F45" s="39">
        <v>1500.0</v>
      </c>
      <c r="G45" s="46">
        <f t="shared" si="1"/>
        <v>1.666666667</v>
      </c>
      <c r="H45" s="39">
        <v>300.0</v>
      </c>
      <c r="I45" s="38" t="s">
        <v>600</v>
      </c>
      <c r="J45" s="39">
        <v>6500.0</v>
      </c>
      <c r="K45" s="38" t="s">
        <v>491</v>
      </c>
      <c r="L45" s="38" t="s">
        <v>507</v>
      </c>
      <c r="M45" s="38">
        <v>2.0</v>
      </c>
      <c r="N45" s="41" t="s">
        <v>493</v>
      </c>
      <c r="O45" s="38" t="s">
        <v>586</v>
      </c>
      <c r="P45" s="38" t="s">
        <v>495</v>
      </c>
      <c r="Q45" s="42" t="s">
        <v>504</v>
      </c>
      <c r="R45" s="38" t="s">
        <v>497</v>
      </c>
      <c r="S45" s="41" t="s">
        <v>593</v>
      </c>
      <c r="T45" s="41" t="s">
        <v>601</v>
      </c>
      <c r="U45" s="38" t="s">
        <v>497</v>
      </c>
      <c r="V45" s="38" t="s">
        <v>497</v>
      </c>
      <c r="W45" s="40" t="s">
        <v>602</v>
      </c>
    </row>
    <row r="46" ht="15.75" customHeight="1">
      <c r="A46" s="38" t="s">
        <v>607</v>
      </c>
      <c r="B46" s="38" t="s">
        <v>93</v>
      </c>
      <c r="C46" s="38" t="s">
        <v>488</v>
      </c>
      <c r="D46" s="39">
        <v>1000.0</v>
      </c>
      <c r="E46" s="38" t="s">
        <v>535</v>
      </c>
      <c r="F46" s="39">
        <v>1000.0</v>
      </c>
      <c r="G46" s="46">
        <f t="shared" si="1"/>
        <v>3</v>
      </c>
      <c r="H46" s="39">
        <v>540.0</v>
      </c>
      <c r="I46" s="48">
        <v>500.0</v>
      </c>
      <c r="J46" s="39">
        <v>6500.0</v>
      </c>
      <c r="K46" s="38" t="s">
        <v>491</v>
      </c>
      <c r="L46" s="38" t="s">
        <v>507</v>
      </c>
      <c r="M46" s="38">
        <v>2.0</v>
      </c>
      <c r="N46" s="41" t="s">
        <v>493</v>
      </c>
      <c r="O46" s="38" t="s">
        <v>586</v>
      </c>
      <c r="P46" s="38" t="s">
        <v>495</v>
      </c>
      <c r="Q46" s="42" t="s">
        <v>504</v>
      </c>
      <c r="R46" s="38" t="s">
        <v>497</v>
      </c>
      <c r="S46" s="41" t="s">
        <v>593</v>
      </c>
      <c r="T46" s="41" t="s">
        <v>553</v>
      </c>
      <c r="U46" s="38" t="s">
        <v>497</v>
      </c>
      <c r="V46" s="38" t="s">
        <v>497</v>
      </c>
      <c r="W46" s="40" t="s">
        <v>500</v>
      </c>
    </row>
    <row r="47" ht="15.75" customHeight="1">
      <c r="A47" s="38" t="s">
        <v>608</v>
      </c>
      <c r="B47" s="38" t="s">
        <v>93</v>
      </c>
      <c r="C47" s="38" t="s">
        <v>502</v>
      </c>
      <c r="D47" s="39">
        <v>1000.0</v>
      </c>
      <c r="E47" s="38" t="s">
        <v>596</v>
      </c>
      <c r="F47" s="39">
        <v>1000.0</v>
      </c>
      <c r="G47" s="46">
        <f t="shared" si="1"/>
        <v>3</v>
      </c>
      <c r="H47" s="39">
        <v>540.0</v>
      </c>
      <c r="I47" s="48">
        <v>500.0</v>
      </c>
      <c r="J47" s="39">
        <v>6500.0</v>
      </c>
      <c r="K47" s="38" t="s">
        <v>491</v>
      </c>
      <c r="L47" s="38" t="s">
        <v>507</v>
      </c>
      <c r="M47" s="38">
        <v>2.0</v>
      </c>
      <c r="N47" s="41" t="s">
        <v>493</v>
      </c>
      <c r="O47" s="38" t="s">
        <v>586</v>
      </c>
      <c r="P47" s="38" t="s">
        <v>495</v>
      </c>
      <c r="Q47" s="42" t="s">
        <v>504</v>
      </c>
      <c r="R47" s="38" t="s">
        <v>497</v>
      </c>
      <c r="S47" s="41" t="s">
        <v>593</v>
      </c>
      <c r="T47" s="41" t="s">
        <v>553</v>
      </c>
      <c r="U47" s="38" t="s">
        <v>497</v>
      </c>
      <c r="V47" s="38" t="s">
        <v>497</v>
      </c>
      <c r="W47" s="40" t="s">
        <v>500</v>
      </c>
    </row>
    <row r="48" ht="15.75" customHeight="1">
      <c r="A48" s="38" t="s">
        <v>609</v>
      </c>
      <c r="B48" s="38" t="s">
        <v>96</v>
      </c>
      <c r="C48" s="38" t="s">
        <v>488</v>
      </c>
      <c r="D48" s="39">
        <v>2200.0</v>
      </c>
      <c r="E48" s="38" t="s">
        <v>535</v>
      </c>
      <c r="F48" s="39">
        <v>2200.0</v>
      </c>
      <c r="G48" s="46">
        <f t="shared" si="1"/>
        <v>6</v>
      </c>
      <c r="H48" s="39">
        <v>1080.0</v>
      </c>
      <c r="I48" s="38" t="s">
        <v>600</v>
      </c>
      <c r="J48" s="39">
        <v>6500.0</v>
      </c>
      <c r="K48" s="38" t="s">
        <v>514</v>
      </c>
      <c r="L48" s="38" t="s">
        <v>507</v>
      </c>
      <c r="M48" s="38">
        <v>2.0</v>
      </c>
      <c r="N48" s="41" t="s">
        <v>493</v>
      </c>
      <c r="O48" s="38" t="s">
        <v>586</v>
      </c>
      <c r="P48" s="38" t="s">
        <v>495</v>
      </c>
      <c r="Q48" s="42" t="s">
        <v>504</v>
      </c>
      <c r="R48" s="38" t="s">
        <v>497</v>
      </c>
      <c r="S48" s="41" t="s">
        <v>593</v>
      </c>
      <c r="T48" s="41" t="s">
        <v>574</v>
      </c>
      <c r="U48" s="38" t="s">
        <v>497</v>
      </c>
      <c r="V48" s="38" t="s">
        <v>497</v>
      </c>
      <c r="W48" s="40" t="s">
        <v>500</v>
      </c>
    </row>
    <row r="49" ht="15.75" customHeight="1">
      <c r="A49" s="38" t="s">
        <v>610</v>
      </c>
      <c r="B49" s="38" t="s">
        <v>96</v>
      </c>
      <c r="C49" s="38" t="s">
        <v>502</v>
      </c>
      <c r="D49" s="39">
        <v>2200.0</v>
      </c>
      <c r="E49" s="38" t="s">
        <v>596</v>
      </c>
      <c r="F49" s="39">
        <v>2200.0</v>
      </c>
      <c r="G49" s="46">
        <f t="shared" si="1"/>
        <v>6</v>
      </c>
      <c r="H49" s="39">
        <v>1080.0</v>
      </c>
      <c r="I49" s="38" t="s">
        <v>600</v>
      </c>
      <c r="J49" s="39">
        <v>6500.0</v>
      </c>
      <c r="K49" s="38" t="s">
        <v>514</v>
      </c>
      <c r="L49" s="38" t="s">
        <v>507</v>
      </c>
      <c r="M49" s="38">
        <v>2.0</v>
      </c>
      <c r="N49" s="41" t="s">
        <v>493</v>
      </c>
      <c r="O49" s="38" t="s">
        <v>586</v>
      </c>
      <c r="P49" s="38" t="s">
        <v>495</v>
      </c>
      <c r="Q49" s="42" t="s">
        <v>504</v>
      </c>
      <c r="R49" s="38" t="s">
        <v>497</v>
      </c>
      <c r="S49" s="41" t="s">
        <v>593</v>
      </c>
      <c r="T49" s="41" t="s">
        <v>574</v>
      </c>
      <c r="U49" s="38" t="s">
        <v>497</v>
      </c>
      <c r="V49" s="38" t="s">
        <v>497</v>
      </c>
      <c r="W49" s="40" t="s">
        <v>500</v>
      </c>
    </row>
    <row r="50" ht="15.75" customHeight="1">
      <c r="A50" s="38" t="s">
        <v>611</v>
      </c>
      <c r="B50" s="38" t="s">
        <v>98</v>
      </c>
      <c r="C50" s="38" t="s">
        <v>488</v>
      </c>
      <c r="D50" s="39">
        <v>2300.0</v>
      </c>
      <c r="E50" s="38" t="s">
        <v>535</v>
      </c>
      <c r="F50" s="39">
        <v>2300.0</v>
      </c>
      <c r="G50" s="46">
        <f t="shared" si="1"/>
        <v>8</v>
      </c>
      <c r="H50" s="39">
        <v>1440.0</v>
      </c>
      <c r="I50" s="38" t="s">
        <v>513</v>
      </c>
      <c r="J50" s="39">
        <v>6500.0</v>
      </c>
      <c r="K50" s="38" t="s">
        <v>514</v>
      </c>
      <c r="L50" s="38" t="s">
        <v>507</v>
      </c>
      <c r="M50" s="38">
        <v>2.0</v>
      </c>
      <c r="N50" s="41" t="s">
        <v>493</v>
      </c>
      <c r="O50" s="38" t="s">
        <v>586</v>
      </c>
      <c r="P50" s="38" t="s">
        <v>495</v>
      </c>
      <c r="Q50" s="42" t="s">
        <v>504</v>
      </c>
      <c r="R50" s="38" t="s">
        <v>497</v>
      </c>
      <c r="S50" s="41" t="s">
        <v>593</v>
      </c>
      <c r="T50" s="41" t="s">
        <v>612</v>
      </c>
      <c r="U50" s="38" t="s">
        <v>497</v>
      </c>
      <c r="V50" s="38" t="s">
        <v>491</v>
      </c>
      <c r="W50" s="40" t="s">
        <v>594</v>
      </c>
    </row>
    <row r="51" ht="15.75" customHeight="1">
      <c r="A51" s="38" t="s">
        <v>613</v>
      </c>
      <c r="B51" s="38" t="s">
        <v>98</v>
      </c>
      <c r="C51" s="38" t="s">
        <v>502</v>
      </c>
      <c r="D51" s="39">
        <v>2300.0</v>
      </c>
      <c r="E51" s="38" t="s">
        <v>596</v>
      </c>
      <c r="F51" s="39">
        <v>2300.0</v>
      </c>
      <c r="G51" s="46">
        <f t="shared" si="1"/>
        <v>7</v>
      </c>
      <c r="H51" s="39">
        <v>1260.0</v>
      </c>
      <c r="I51" s="38" t="s">
        <v>513</v>
      </c>
      <c r="J51" s="39">
        <v>6500.0</v>
      </c>
      <c r="K51" s="38" t="s">
        <v>514</v>
      </c>
      <c r="L51" s="38" t="s">
        <v>507</v>
      </c>
      <c r="M51" s="38">
        <v>2.0</v>
      </c>
      <c r="N51" s="41" t="s">
        <v>493</v>
      </c>
      <c r="O51" s="38" t="s">
        <v>586</v>
      </c>
      <c r="P51" s="38" t="s">
        <v>495</v>
      </c>
      <c r="Q51" s="42" t="s">
        <v>504</v>
      </c>
      <c r="R51" s="38" t="s">
        <v>497</v>
      </c>
      <c r="S51" s="41" t="s">
        <v>593</v>
      </c>
      <c r="T51" s="41" t="s">
        <v>612</v>
      </c>
      <c r="U51" s="38" t="s">
        <v>497</v>
      </c>
      <c r="V51" s="38" t="s">
        <v>491</v>
      </c>
      <c r="W51" s="40" t="s">
        <v>594</v>
      </c>
    </row>
    <row r="52" ht="15.75" customHeight="1">
      <c r="A52" s="38" t="s">
        <v>614</v>
      </c>
      <c r="B52" s="38" t="s">
        <v>101</v>
      </c>
      <c r="C52" s="38" t="s">
        <v>488</v>
      </c>
      <c r="D52" s="39">
        <v>2000.0</v>
      </c>
      <c r="E52" s="38" t="s">
        <v>535</v>
      </c>
      <c r="F52" s="39">
        <v>2000.0</v>
      </c>
      <c r="G52" s="46">
        <f t="shared" si="1"/>
        <v>4</v>
      </c>
      <c r="H52" s="39">
        <v>720.0</v>
      </c>
      <c r="I52" s="48">
        <v>800.0</v>
      </c>
      <c r="J52" s="39">
        <v>6500.0</v>
      </c>
      <c r="K52" s="38" t="s">
        <v>514</v>
      </c>
      <c r="L52" s="38" t="s">
        <v>507</v>
      </c>
      <c r="M52" s="38">
        <v>2.0</v>
      </c>
      <c r="N52" s="41" t="s">
        <v>493</v>
      </c>
      <c r="O52" s="38" t="s">
        <v>586</v>
      </c>
      <c r="P52" s="38" t="s">
        <v>495</v>
      </c>
      <c r="Q52" s="42" t="s">
        <v>504</v>
      </c>
      <c r="R52" s="38" t="s">
        <v>497</v>
      </c>
      <c r="S52" s="41" t="s">
        <v>615</v>
      </c>
      <c r="T52" s="41" t="s">
        <v>616</v>
      </c>
      <c r="U52" s="38" t="s">
        <v>497</v>
      </c>
      <c r="V52" s="38" t="s">
        <v>497</v>
      </c>
      <c r="W52" s="40" t="s">
        <v>500</v>
      </c>
    </row>
    <row r="53" ht="15.75" customHeight="1">
      <c r="A53" s="38" t="s">
        <v>617</v>
      </c>
      <c r="B53" s="38" t="s">
        <v>101</v>
      </c>
      <c r="C53" s="38" t="s">
        <v>502</v>
      </c>
      <c r="D53" s="39">
        <v>2000.0</v>
      </c>
      <c r="E53" s="38" t="s">
        <v>596</v>
      </c>
      <c r="F53" s="39">
        <v>2000.0</v>
      </c>
      <c r="G53" s="46">
        <f t="shared" si="1"/>
        <v>4</v>
      </c>
      <c r="H53" s="39">
        <v>720.0</v>
      </c>
      <c r="I53" s="48">
        <v>800.0</v>
      </c>
      <c r="J53" s="39">
        <v>6500.0</v>
      </c>
      <c r="K53" s="38" t="s">
        <v>514</v>
      </c>
      <c r="L53" s="38" t="s">
        <v>507</v>
      </c>
      <c r="M53" s="38">
        <v>2.0</v>
      </c>
      <c r="N53" s="41" t="s">
        <v>493</v>
      </c>
      <c r="O53" s="38" t="s">
        <v>586</v>
      </c>
      <c r="P53" s="38" t="s">
        <v>495</v>
      </c>
      <c r="Q53" s="42" t="s">
        <v>504</v>
      </c>
      <c r="R53" s="38" t="s">
        <v>497</v>
      </c>
      <c r="S53" s="41" t="s">
        <v>615</v>
      </c>
      <c r="T53" s="41" t="s">
        <v>616</v>
      </c>
      <c r="U53" s="38" t="s">
        <v>497</v>
      </c>
      <c r="V53" s="38" t="s">
        <v>497</v>
      </c>
      <c r="W53" s="40" t="s">
        <v>500</v>
      </c>
    </row>
    <row r="54" ht="15.75" customHeight="1">
      <c r="A54" s="38" t="s">
        <v>618</v>
      </c>
      <c r="B54" s="38" t="s">
        <v>104</v>
      </c>
      <c r="C54" s="38" t="s">
        <v>488</v>
      </c>
      <c r="D54" s="39">
        <v>6000.0</v>
      </c>
      <c r="E54" s="38" t="s">
        <v>518</v>
      </c>
      <c r="F54" s="39">
        <v>6000.0</v>
      </c>
      <c r="G54" s="46">
        <f t="shared" si="1"/>
        <v>16.66666667</v>
      </c>
      <c r="H54" s="39">
        <v>3000.0</v>
      </c>
      <c r="I54" s="38" t="s">
        <v>619</v>
      </c>
      <c r="J54" s="39">
        <v>6500.0</v>
      </c>
      <c r="K54" s="38" t="s">
        <v>514</v>
      </c>
      <c r="L54" s="38" t="s">
        <v>507</v>
      </c>
      <c r="M54" s="38">
        <v>2.0</v>
      </c>
      <c r="N54" s="41" t="s">
        <v>493</v>
      </c>
      <c r="O54" s="38" t="s">
        <v>586</v>
      </c>
      <c r="P54" s="38" t="s">
        <v>495</v>
      </c>
      <c r="Q54" s="42" t="s">
        <v>504</v>
      </c>
      <c r="R54" s="38" t="s">
        <v>497</v>
      </c>
      <c r="S54" s="41" t="s">
        <v>593</v>
      </c>
      <c r="T54" s="41" t="s">
        <v>620</v>
      </c>
      <c r="U54" s="38" t="s">
        <v>497</v>
      </c>
      <c r="V54" s="38" t="s">
        <v>497</v>
      </c>
      <c r="W54" s="40" t="s">
        <v>500</v>
      </c>
    </row>
    <row r="55" ht="15.75" customHeight="1">
      <c r="A55" s="38" t="s">
        <v>621</v>
      </c>
      <c r="B55" s="38" t="s">
        <v>104</v>
      </c>
      <c r="C55" s="38" t="s">
        <v>502</v>
      </c>
      <c r="D55" s="39">
        <v>6000.0</v>
      </c>
      <c r="E55" s="38" t="s">
        <v>596</v>
      </c>
      <c r="F55" s="39">
        <v>6000.0</v>
      </c>
      <c r="G55" s="46">
        <f t="shared" si="1"/>
        <v>16.66666667</v>
      </c>
      <c r="H55" s="39">
        <v>3000.0</v>
      </c>
      <c r="I55" s="38" t="s">
        <v>619</v>
      </c>
      <c r="J55" s="39">
        <v>6500.0</v>
      </c>
      <c r="K55" s="38" t="s">
        <v>514</v>
      </c>
      <c r="L55" s="38" t="s">
        <v>507</v>
      </c>
      <c r="M55" s="38">
        <v>2.0</v>
      </c>
      <c r="N55" s="41" t="s">
        <v>493</v>
      </c>
      <c r="O55" s="38" t="s">
        <v>586</v>
      </c>
      <c r="P55" s="38" t="s">
        <v>495</v>
      </c>
      <c r="Q55" s="42" t="s">
        <v>504</v>
      </c>
      <c r="R55" s="38" t="s">
        <v>497</v>
      </c>
      <c r="S55" s="41" t="s">
        <v>593</v>
      </c>
      <c r="T55" s="41" t="s">
        <v>620</v>
      </c>
      <c r="U55" s="38" t="s">
        <v>497</v>
      </c>
      <c r="V55" s="38" t="s">
        <v>497</v>
      </c>
      <c r="W55" s="40" t="s">
        <v>500</v>
      </c>
    </row>
    <row r="56" ht="15.75" customHeight="1">
      <c r="A56" s="38" t="s">
        <v>622</v>
      </c>
      <c r="B56" s="38" t="s">
        <v>107</v>
      </c>
      <c r="C56" s="38" t="s">
        <v>488</v>
      </c>
      <c r="D56" s="39">
        <v>1000.0</v>
      </c>
      <c r="E56" s="38" t="s">
        <v>518</v>
      </c>
      <c r="F56" s="39">
        <v>1000.0</v>
      </c>
      <c r="G56" s="46">
        <f t="shared" si="1"/>
        <v>2</v>
      </c>
      <c r="H56" s="39">
        <v>360.0</v>
      </c>
      <c r="I56" s="48">
        <v>800.0</v>
      </c>
      <c r="J56" s="39">
        <v>6500.0</v>
      </c>
      <c r="K56" s="38" t="s">
        <v>514</v>
      </c>
      <c r="L56" s="38" t="s">
        <v>507</v>
      </c>
      <c r="M56" s="38">
        <v>2.0</v>
      </c>
      <c r="N56" s="41" t="s">
        <v>493</v>
      </c>
      <c r="O56" s="38" t="s">
        <v>586</v>
      </c>
      <c r="P56" s="38" t="s">
        <v>495</v>
      </c>
      <c r="Q56" s="42" t="s">
        <v>504</v>
      </c>
      <c r="R56" s="38" t="s">
        <v>497</v>
      </c>
      <c r="S56" s="41" t="s">
        <v>615</v>
      </c>
      <c r="T56" s="41" t="s">
        <v>616</v>
      </c>
      <c r="U56" s="38" t="s">
        <v>497</v>
      </c>
      <c r="V56" s="38" t="s">
        <v>497</v>
      </c>
      <c r="W56" s="40" t="s">
        <v>500</v>
      </c>
    </row>
    <row r="57" ht="15.75" customHeight="1">
      <c r="A57" s="38" t="s">
        <v>623</v>
      </c>
      <c r="B57" s="38" t="s">
        <v>107</v>
      </c>
      <c r="C57" s="38" t="s">
        <v>502</v>
      </c>
      <c r="D57" s="39">
        <v>1000.0</v>
      </c>
      <c r="E57" s="38" t="s">
        <v>596</v>
      </c>
      <c r="F57" s="39">
        <v>1000.0</v>
      </c>
      <c r="G57" s="46">
        <f t="shared" si="1"/>
        <v>2</v>
      </c>
      <c r="H57" s="39">
        <v>360.0</v>
      </c>
      <c r="I57" s="48">
        <v>800.0</v>
      </c>
      <c r="J57" s="39">
        <v>6500.0</v>
      </c>
      <c r="K57" s="38" t="s">
        <v>514</v>
      </c>
      <c r="L57" s="38" t="s">
        <v>507</v>
      </c>
      <c r="M57" s="38">
        <v>2.0</v>
      </c>
      <c r="N57" s="41" t="s">
        <v>493</v>
      </c>
      <c r="O57" s="38" t="s">
        <v>586</v>
      </c>
      <c r="P57" s="38" t="s">
        <v>495</v>
      </c>
      <c r="Q57" s="42" t="s">
        <v>504</v>
      </c>
      <c r="R57" s="38" t="s">
        <v>497</v>
      </c>
      <c r="S57" s="41" t="s">
        <v>615</v>
      </c>
      <c r="T57" s="41" t="s">
        <v>616</v>
      </c>
      <c r="U57" s="38" t="s">
        <v>497</v>
      </c>
      <c r="V57" s="38" t="s">
        <v>497</v>
      </c>
      <c r="W57" s="40" t="s">
        <v>500</v>
      </c>
    </row>
    <row r="58" ht="15.75" customHeight="1">
      <c r="A58" s="38" t="s">
        <v>624</v>
      </c>
      <c r="B58" s="38" t="s">
        <v>109</v>
      </c>
      <c r="C58" s="38" t="s">
        <v>488</v>
      </c>
      <c r="D58" s="39">
        <v>4000.0</v>
      </c>
      <c r="E58" s="38" t="s">
        <v>518</v>
      </c>
      <c r="F58" s="39">
        <v>4000.0</v>
      </c>
      <c r="G58" s="46">
        <f t="shared" si="1"/>
        <v>9</v>
      </c>
      <c r="H58" s="39">
        <v>1620.0</v>
      </c>
      <c r="I58" s="49" t="s">
        <v>506</v>
      </c>
      <c r="J58" s="39">
        <v>6500.0</v>
      </c>
      <c r="K58" s="38" t="s">
        <v>514</v>
      </c>
      <c r="L58" s="38" t="s">
        <v>507</v>
      </c>
      <c r="M58" s="38">
        <v>2.0</v>
      </c>
      <c r="N58" s="41" t="s">
        <v>493</v>
      </c>
      <c r="O58" s="38" t="s">
        <v>586</v>
      </c>
      <c r="P58" s="38" t="s">
        <v>495</v>
      </c>
      <c r="Q58" s="42" t="s">
        <v>504</v>
      </c>
      <c r="R58" s="38" t="s">
        <v>497</v>
      </c>
      <c r="S58" s="41" t="s">
        <v>593</v>
      </c>
      <c r="T58" s="41" t="s">
        <v>590</v>
      </c>
      <c r="U58" s="38" t="s">
        <v>497</v>
      </c>
      <c r="V58" s="38" t="s">
        <v>497</v>
      </c>
      <c r="W58" s="40" t="s">
        <v>602</v>
      </c>
    </row>
    <row r="59" ht="15.75" customHeight="1">
      <c r="A59" s="38" t="s">
        <v>625</v>
      </c>
      <c r="B59" s="38" t="s">
        <v>109</v>
      </c>
      <c r="C59" s="38" t="s">
        <v>502</v>
      </c>
      <c r="D59" s="39">
        <v>4000.0</v>
      </c>
      <c r="E59" s="38" t="s">
        <v>596</v>
      </c>
      <c r="F59" s="39">
        <v>4000.0</v>
      </c>
      <c r="G59" s="46">
        <f t="shared" si="1"/>
        <v>9</v>
      </c>
      <c r="H59" s="39">
        <v>1620.0</v>
      </c>
      <c r="I59" s="49" t="s">
        <v>506</v>
      </c>
      <c r="J59" s="39">
        <v>6500.0</v>
      </c>
      <c r="K59" s="38" t="s">
        <v>514</v>
      </c>
      <c r="L59" s="38" t="s">
        <v>507</v>
      </c>
      <c r="M59" s="38">
        <v>2.0</v>
      </c>
      <c r="N59" s="41" t="s">
        <v>493</v>
      </c>
      <c r="O59" s="38" t="s">
        <v>586</v>
      </c>
      <c r="P59" s="38" t="s">
        <v>495</v>
      </c>
      <c r="Q59" s="42" t="s">
        <v>504</v>
      </c>
      <c r="R59" s="38" t="s">
        <v>497</v>
      </c>
      <c r="S59" s="41" t="s">
        <v>593</v>
      </c>
      <c r="T59" s="41" t="s">
        <v>590</v>
      </c>
      <c r="U59" s="38" t="s">
        <v>497</v>
      </c>
      <c r="V59" s="38" t="s">
        <v>497</v>
      </c>
      <c r="W59" s="40" t="s">
        <v>602</v>
      </c>
    </row>
    <row r="60" ht="15.75" customHeight="1">
      <c r="A60" s="38" t="s">
        <v>626</v>
      </c>
      <c r="B60" s="38" t="s">
        <v>111</v>
      </c>
      <c r="C60" s="38" t="s">
        <v>488</v>
      </c>
      <c r="D60" s="39">
        <v>800.0</v>
      </c>
      <c r="E60" s="38" t="s">
        <v>518</v>
      </c>
      <c r="F60" s="39">
        <v>800.0</v>
      </c>
      <c r="G60" s="46">
        <f t="shared" si="1"/>
        <v>2</v>
      </c>
      <c r="H60" s="39">
        <v>360.0</v>
      </c>
      <c r="I60" s="49" t="s">
        <v>524</v>
      </c>
      <c r="J60" s="39">
        <v>6500.0</v>
      </c>
      <c r="K60" s="38" t="s">
        <v>514</v>
      </c>
      <c r="L60" s="38" t="s">
        <v>492</v>
      </c>
      <c r="M60" s="38">
        <v>2.0</v>
      </c>
      <c r="N60" s="41" t="s">
        <v>493</v>
      </c>
      <c r="O60" s="38" t="s">
        <v>586</v>
      </c>
      <c r="P60" s="38" t="s">
        <v>495</v>
      </c>
      <c r="Q60" s="42" t="s">
        <v>504</v>
      </c>
      <c r="R60" s="38" t="s">
        <v>497</v>
      </c>
      <c r="S60" s="41" t="s">
        <v>589</v>
      </c>
      <c r="T60" s="41" t="s">
        <v>616</v>
      </c>
      <c r="U60" s="38" t="s">
        <v>497</v>
      </c>
      <c r="V60" s="38" t="s">
        <v>497</v>
      </c>
      <c r="W60" s="40" t="s">
        <v>500</v>
      </c>
    </row>
    <row r="61" ht="15.75" customHeight="1">
      <c r="A61" s="38" t="s">
        <v>627</v>
      </c>
      <c r="B61" s="38" t="s">
        <v>111</v>
      </c>
      <c r="C61" s="38" t="s">
        <v>502</v>
      </c>
      <c r="D61" s="39">
        <v>800.0</v>
      </c>
      <c r="E61" s="38" t="s">
        <v>596</v>
      </c>
      <c r="F61" s="39">
        <v>800.0</v>
      </c>
      <c r="G61" s="46">
        <f t="shared" si="1"/>
        <v>2</v>
      </c>
      <c r="H61" s="39">
        <v>360.0</v>
      </c>
      <c r="I61" s="49" t="s">
        <v>524</v>
      </c>
      <c r="J61" s="39">
        <v>6500.0</v>
      </c>
      <c r="K61" s="38" t="s">
        <v>514</v>
      </c>
      <c r="L61" s="38" t="s">
        <v>492</v>
      </c>
      <c r="M61" s="38">
        <v>2.0</v>
      </c>
      <c r="N61" s="41" t="s">
        <v>493</v>
      </c>
      <c r="O61" s="38" t="s">
        <v>586</v>
      </c>
      <c r="P61" s="38" t="s">
        <v>495</v>
      </c>
      <c r="Q61" s="42" t="s">
        <v>504</v>
      </c>
      <c r="R61" s="38" t="s">
        <v>497</v>
      </c>
      <c r="S61" s="41" t="s">
        <v>615</v>
      </c>
      <c r="T61" s="41" t="s">
        <v>616</v>
      </c>
      <c r="U61" s="38" t="s">
        <v>497</v>
      </c>
      <c r="V61" s="38" t="s">
        <v>497</v>
      </c>
      <c r="W61" s="40" t="s">
        <v>500</v>
      </c>
    </row>
    <row r="62" ht="15.75" customHeight="1">
      <c r="A62" s="38" t="s">
        <v>628</v>
      </c>
      <c r="B62" s="38" t="s">
        <v>114</v>
      </c>
      <c r="C62" s="38" t="s">
        <v>517</v>
      </c>
      <c r="D62" s="39">
        <v>1200.0</v>
      </c>
      <c r="E62" s="38" t="s">
        <v>535</v>
      </c>
      <c r="F62" s="39">
        <v>1200.0</v>
      </c>
      <c r="G62" s="46">
        <f t="shared" si="1"/>
        <v>4</v>
      </c>
      <c r="H62" s="47">
        <f t="shared" ref="H62:H63" si="4">4*180</f>
        <v>720</v>
      </c>
      <c r="I62" s="38" t="s">
        <v>513</v>
      </c>
      <c r="J62" s="39">
        <v>6500.0</v>
      </c>
      <c r="K62" s="38" t="s">
        <v>514</v>
      </c>
      <c r="L62" s="38" t="s">
        <v>507</v>
      </c>
      <c r="M62" s="38">
        <v>2.0</v>
      </c>
      <c r="N62" s="41" t="s">
        <v>493</v>
      </c>
      <c r="O62" s="38" t="s">
        <v>586</v>
      </c>
      <c r="P62" s="38" t="s">
        <v>495</v>
      </c>
      <c r="Q62" s="42" t="s">
        <v>504</v>
      </c>
      <c r="R62" s="38" t="s">
        <v>497</v>
      </c>
      <c r="S62" s="41" t="s">
        <v>593</v>
      </c>
      <c r="T62" s="41" t="s">
        <v>590</v>
      </c>
      <c r="U62" s="38" t="s">
        <v>497</v>
      </c>
      <c r="V62" s="38" t="s">
        <v>497</v>
      </c>
      <c r="W62" s="40" t="s">
        <v>500</v>
      </c>
    </row>
    <row r="63" ht="15.75" customHeight="1">
      <c r="A63" s="38" t="s">
        <v>629</v>
      </c>
      <c r="B63" s="38" t="s">
        <v>114</v>
      </c>
      <c r="C63" s="38" t="s">
        <v>570</v>
      </c>
      <c r="D63" s="39">
        <v>1200.0</v>
      </c>
      <c r="E63" s="38" t="s">
        <v>596</v>
      </c>
      <c r="F63" s="39">
        <v>1200.0</v>
      </c>
      <c r="G63" s="46">
        <f t="shared" si="1"/>
        <v>4</v>
      </c>
      <c r="H63" s="47">
        <f t="shared" si="4"/>
        <v>720</v>
      </c>
      <c r="I63" s="38" t="s">
        <v>513</v>
      </c>
      <c r="J63" s="39">
        <v>6500.0</v>
      </c>
      <c r="K63" s="38" t="s">
        <v>514</v>
      </c>
      <c r="L63" s="38" t="s">
        <v>507</v>
      </c>
      <c r="M63" s="38">
        <v>2.0</v>
      </c>
      <c r="N63" s="41" t="s">
        <v>493</v>
      </c>
      <c r="O63" s="38" t="s">
        <v>586</v>
      </c>
      <c r="P63" s="38" t="s">
        <v>495</v>
      </c>
      <c r="Q63" s="42" t="s">
        <v>504</v>
      </c>
      <c r="R63" s="38" t="s">
        <v>497</v>
      </c>
      <c r="S63" s="41" t="s">
        <v>593</v>
      </c>
      <c r="T63" s="41" t="s">
        <v>590</v>
      </c>
      <c r="U63" s="38" t="s">
        <v>497</v>
      </c>
      <c r="V63" s="38" t="s">
        <v>491</v>
      </c>
      <c r="W63" s="40" t="s">
        <v>594</v>
      </c>
    </row>
    <row r="64" ht="15.75" customHeight="1">
      <c r="A64" s="38" t="s">
        <v>630</v>
      </c>
      <c r="B64" s="38" t="s">
        <v>116</v>
      </c>
      <c r="C64" s="38" t="s">
        <v>517</v>
      </c>
      <c r="D64" s="39">
        <v>3000.0</v>
      </c>
      <c r="E64" s="38" t="s">
        <v>535</v>
      </c>
      <c r="F64" s="39">
        <v>3000.0</v>
      </c>
      <c r="G64" s="46">
        <f t="shared" si="1"/>
        <v>12.22222222</v>
      </c>
      <c r="H64" s="39">
        <v>2200.0</v>
      </c>
      <c r="I64" s="38" t="s">
        <v>600</v>
      </c>
      <c r="J64" s="39">
        <v>6500.0</v>
      </c>
      <c r="K64" s="38" t="s">
        <v>566</v>
      </c>
      <c r="L64" s="38" t="s">
        <v>507</v>
      </c>
      <c r="M64" s="38">
        <v>2.0</v>
      </c>
      <c r="N64" s="41" t="s">
        <v>493</v>
      </c>
      <c r="O64" s="38" t="s">
        <v>586</v>
      </c>
      <c r="P64" s="38" t="s">
        <v>495</v>
      </c>
      <c r="Q64" s="42" t="s">
        <v>504</v>
      </c>
      <c r="R64" s="38" t="s">
        <v>497</v>
      </c>
      <c r="S64" s="41" t="s">
        <v>631</v>
      </c>
      <c r="T64" s="41" t="s">
        <v>590</v>
      </c>
      <c r="U64" s="38" t="s">
        <v>497</v>
      </c>
      <c r="V64" s="38" t="s">
        <v>497</v>
      </c>
      <c r="W64" s="40" t="s">
        <v>500</v>
      </c>
    </row>
    <row r="65" ht="15.75" customHeight="1">
      <c r="A65" s="38" t="s">
        <v>632</v>
      </c>
      <c r="B65" s="38" t="s">
        <v>116</v>
      </c>
      <c r="C65" s="38" t="s">
        <v>570</v>
      </c>
      <c r="D65" s="39">
        <v>3000.0</v>
      </c>
      <c r="E65" s="38" t="s">
        <v>596</v>
      </c>
      <c r="F65" s="39">
        <v>3000.0</v>
      </c>
      <c r="G65" s="46">
        <f t="shared" si="1"/>
        <v>12.22222222</v>
      </c>
      <c r="H65" s="39">
        <v>2200.0</v>
      </c>
      <c r="I65" s="38" t="s">
        <v>600</v>
      </c>
      <c r="J65" s="39">
        <v>6500.0</v>
      </c>
      <c r="K65" s="38" t="s">
        <v>566</v>
      </c>
      <c r="L65" s="38" t="s">
        <v>507</v>
      </c>
      <c r="M65" s="38">
        <v>2.0</v>
      </c>
      <c r="N65" s="41" t="s">
        <v>493</v>
      </c>
      <c r="O65" s="38" t="s">
        <v>586</v>
      </c>
      <c r="P65" s="38" t="s">
        <v>495</v>
      </c>
      <c r="Q65" s="42" t="s">
        <v>504</v>
      </c>
      <c r="R65" s="38" t="s">
        <v>497</v>
      </c>
      <c r="S65" s="41" t="s">
        <v>631</v>
      </c>
      <c r="T65" s="41" t="s">
        <v>590</v>
      </c>
      <c r="U65" s="38" t="s">
        <v>491</v>
      </c>
      <c r="V65" s="38" t="s">
        <v>497</v>
      </c>
      <c r="W65" s="40" t="s">
        <v>500</v>
      </c>
    </row>
    <row r="66" ht="15.75" customHeight="1">
      <c r="A66" s="38" t="s">
        <v>633</v>
      </c>
      <c r="B66" s="38" t="s">
        <v>119</v>
      </c>
      <c r="C66" s="38" t="s">
        <v>517</v>
      </c>
      <c r="D66" s="39">
        <v>1800.0</v>
      </c>
      <c r="E66" s="38" t="s">
        <v>518</v>
      </c>
      <c r="F66" s="39">
        <v>1800.0</v>
      </c>
      <c r="G66" s="46">
        <f t="shared" si="1"/>
        <v>2</v>
      </c>
      <c r="H66" s="39">
        <v>360.0</v>
      </c>
      <c r="I66" s="38" t="s">
        <v>513</v>
      </c>
      <c r="J66" s="39">
        <v>6500.0</v>
      </c>
      <c r="K66" s="38" t="s">
        <v>514</v>
      </c>
      <c r="L66" s="38" t="s">
        <v>507</v>
      </c>
      <c r="M66" s="38">
        <v>2.0</v>
      </c>
      <c r="N66" s="41" t="s">
        <v>493</v>
      </c>
      <c r="O66" s="38" t="s">
        <v>586</v>
      </c>
      <c r="P66" s="38" t="s">
        <v>495</v>
      </c>
      <c r="Q66" s="42" t="s">
        <v>538</v>
      </c>
      <c r="R66" s="38" t="s">
        <v>497</v>
      </c>
      <c r="S66" s="41" t="s">
        <v>634</v>
      </c>
      <c r="T66" s="41" t="s">
        <v>601</v>
      </c>
      <c r="U66" s="38" t="s">
        <v>491</v>
      </c>
      <c r="V66" s="38" t="s">
        <v>497</v>
      </c>
      <c r="W66" s="40" t="s">
        <v>500</v>
      </c>
    </row>
    <row r="67" ht="15.75" customHeight="1">
      <c r="A67" s="38" t="s">
        <v>635</v>
      </c>
      <c r="B67" s="38" t="s">
        <v>119</v>
      </c>
      <c r="C67" s="38" t="s">
        <v>570</v>
      </c>
      <c r="D67" s="39">
        <v>1800.0</v>
      </c>
      <c r="E67" s="38" t="s">
        <v>518</v>
      </c>
      <c r="F67" s="39">
        <v>1800.0</v>
      </c>
      <c r="G67" s="46">
        <f t="shared" si="1"/>
        <v>2</v>
      </c>
      <c r="H67" s="39">
        <v>360.0</v>
      </c>
      <c r="I67" s="38" t="s">
        <v>513</v>
      </c>
      <c r="J67" s="39">
        <v>6500.0</v>
      </c>
      <c r="K67" s="38" t="s">
        <v>514</v>
      </c>
      <c r="L67" s="38" t="s">
        <v>507</v>
      </c>
      <c r="M67" s="38">
        <v>2.0</v>
      </c>
      <c r="N67" s="41" t="s">
        <v>493</v>
      </c>
      <c r="O67" s="38" t="s">
        <v>586</v>
      </c>
      <c r="P67" s="38" t="s">
        <v>495</v>
      </c>
      <c r="Q67" s="42" t="s">
        <v>538</v>
      </c>
      <c r="R67" s="38" t="s">
        <v>497</v>
      </c>
      <c r="S67" s="41" t="s">
        <v>634</v>
      </c>
      <c r="T67" s="41" t="s">
        <v>601</v>
      </c>
      <c r="U67" s="38" t="s">
        <v>491</v>
      </c>
      <c r="V67" s="38" t="s">
        <v>497</v>
      </c>
      <c r="W67" s="40" t="s">
        <v>500</v>
      </c>
    </row>
    <row r="68" ht="15.75" customHeight="1">
      <c r="A68" s="38" t="s">
        <v>636</v>
      </c>
      <c r="B68" s="38" t="s">
        <v>122</v>
      </c>
      <c r="C68" s="38" t="s">
        <v>488</v>
      </c>
      <c r="D68" s="39">
        <v>4000.0</v>
      </c>
      <c r="E68" s="38" t="s">
        <v>535</v>
      </c>
      <c r="F68" s="39">
        <v>4000.0</v>
      </c>
      <c r="G68" s="46">
        <v>10.0</v>
      </c>
      <c r="H68" s="39">
        <v>1800.0</v>
      </c>
      <c r="I68" s="38" t="s">
        <v>490</v>
      </c>
      <c r="J68" s="39">
        <v>6500.0</v>
      </c>
      <c r="K68" s="38" t="s">
        <v>514</v>
      </c>
      <c r="L68" s="38" t="s">
        <v>507</v>
      </c>
      <c r="M68" s="38">
        <v>2.0</v>
      </c>
      <c r="N68" s="41" t="s">
        <v>493</v>
      </c>
      <c r="O68" s="38" t="s">
        <v>586</v>
      </c>
      <c r="P68" s="38" t="s">
        <v>495</v>
      </c>
      <c r="Q68" s="42" t="s">
        <v>504</v>
      </c>
      <c r="R68" s="38" t="s">
        <v>497</v>
      </c>
      <c r="S68" s="41" t="s">
        <v>637</v>
      </c>
      <c r="T68" s="41" t="s">
        <v>638</v>
      </c>
      <c r="U68" s="38" t="s">
        <v>497</v>
      </c>
      <c r="V68" s="38" t="s">
        <v>497</v>
      </c>
      <c r="W68" s="40" t="s">
        <v>500</v>
      </c>
    </row>
    <row r="69" ht="15.75" customHeight="1">
      <c r="A69" s="38" t="s">
        <v>639</v>
      </c>
      <c r="B69" s="38" t="s">
        <v>122</v>
      </c>
      <c r="C69" s="38" t="s">
        <v>502</v>
      </c>
      <c r="D69" s="39">
        <v>4000.0</v>
      </c>
      <c r="E69" s="38" t="s">
        <v>596</v>
      </c>
      <c r="F69" s="39">
        <v>4000.0</v>
      </c>
      <c r="G69" s="46">
        <v>10.0</v>
      </c>
      <c r="H69" s="39">
        <v>1800.0</v>
      </c>
      <c r="I69" s="38" t="s">
        <v>490</v>
      </c>
      <c r="J69" s="39">
        <v>6500.0</v>
      </c>
      <c r="K69" s="38" t="s">
        <v>514</v>
      </c>
      <c r="L69" s="38" t="s">
        <v>507</v>
      </c>
      <c r="M69" s="38">
        <v>2.0</v>
      </c>
      <c r="N69" s="41" t="s">
        <v>493</v>
      </c>
      <c r="O69" s="38" t="s">
        <v>586</v>
      </c>
      <c r="P69" s="38" t="s">
        <v>495</v>
      </c>
      <c r="Q69" s="42" t="s">
        <v>504</v>
      </c>
      <c r="R69" s="38" t="s">
        <v>497</v>
      </c>
      <c r="S69" s="41" t="s">
        <v>637</v>
      </c>
      <c r="T69" s="41" t="s">
        <v>638</v>
      </c>
      <c r="U69" s="38" t="s">
        <v>497</v>
      </c>
      <c r="V69" s="38" t="s">
        <v>497</v>
      </c>
      <c r="W69" s="40" t="s">
        <v>500</v>
      </c>
    </row>
    <row r="70" ht="15.75" customHeight="1">
      <c r="A70" s="38" t="s">
        <v>640</v>
      </c>
      <c r="B70" s="38" t="s">
        <v>125</v>
      </c>
      <c r="C70" s="38" t="s">
        <v>488</v>
      </c>
      <c r="D70" s="39">
        <v>2000.0</v>
      </c>
      <c r="E70" s="38" t="s">
        <v>518</v>
      </c>
      <c r="F70" s="39">
        <v>2000.0</v>
      </c>
      <c r="G70" s="46">
        <v>10.0</v>
      </c>
      <c r="H70" s="39">
        <v>1800.0</v>
      </c>
      <c r="I70" s="38" t="s">
        <v>513</v>
      </c>
      <c r="J70" s="39">
        <v>6500.0</v>
      </c>
      <c r="K70" s="38" t="s">
        <v>491</v>
      </c>
      <c r="L70" s="38" t="s">
        <v>492</v>
      </c>
      <c r="M70" s="38">
        <v>2.0</v>
      </c>
      <c r="N70" s="41" t="s">
        <v>493</v>
      </c>
      <c r="O70" s="38" t="s">
        <v>586</v>
      </c>
      <c r="P70" s="38" t="s">
        <v>495</v>
      </c>
      <c r="Q70" s="42" t="s">
        <v>504</v>
      </c>
      <c r="R70" s="38" t="s">
        <v>497</v>
      </c>
      <c r="S70" s="41" t="s">
        <v>637</v>
      </c>
      <c r="T70" s="41" t="s">
        <v>499</v>
      </c>
      <c r="U70" s="38" t="s">
        <v>497</v>
      </c>
      <c r="V70" s="38" t="s">
        <v>497</v>
      </c>
      <c r="W70" s="40" t="s">
        <v>500</v>
      </c>
    </row>
    <row r="71" ht="15.75" customHeight="1">
      <c r="A71" s="38" t="s">
        <v>641</v>
      </c>
      <c r="B71" s="38" t="s">
        <v>125</v>
      </c>
      <c r="C71" s="38" t="s">
        <v>502</v>
      </c>
      <c r="D71" s="39">
        <v>2000.0</v>
      </c>
      <c r="E71" s="38" t="s">
        <v>596</v>
      </c>
      <c r="F71" s="39">
        <v>2000.0</v>
      </c>
      <c r="G71" s="46">
        <v>10.0</v>
      </c>
      <c r="H71" s="39">
        <v>1800.0</v>
      </c>
      <c r="I71" s="38" t="s">
        <v>513</v>
      </c>
      <c r="J71" s="39">
        <v>6500.0</v>
      </c>
      <c r="K71" s="38" t="s">
        <v>491</v>
      </c>
      <c r="L71" s="38" t="s">
        <v>492</v>
      </c>
      <c r="M71" s="38">
        <v>2.0</v>
      </c>
      <c r="N71" s="41" t="s">
        <v>493</v>
      </c>
      <c r="O71" s="38" t="s">
        <v>586</v>
      </c>
      <c r="P71" s="38" t="s">
        <v>495</v>
      </c>
      <c r="Q71" s="42" t="s">
        <v>504</v>
      </c>
      <c r="R71" s="38" t="s">
        <v>497</v>
      </c>
      <c r="S71" s="41" t="s">
        <v>637</v>
      </c>
      <c r="T71" s="41" t="s">
        <v>499</v>
      </c>
      <c r="U71" s="38" t="s">
        <v>497</v>
      </c>
      <c r="V71" s="38" t="s">
        <v>497</v>
      </c>
      <c r="W71" s="40" t="s">
        <v>500</v>
      </c>
    </row>
    <row r="72" ht="15.75" customHeight="1">
      <c r="A72" s="38" t="s">
        <v>642</v>
      </c>
      <c r="B72" s="38" t="s">
        <v>127</v>
      </c>
      <c r="C72" s="38" t="s">
        <v>488</v>
      </c>
      <c r="D72" s="39">
        <v>2000.0</v>
      </c>
      <c r="E72" s="38" t="s">
        <v>518</v>
      </c>
      <c r="F72" s="39">
        <v>2000.0</v>
      </c>
      <c r="G72" s="46">
        <v>3.0</v>
      </c>
      <c r="H72" s="39">
        <v>600.0</v>
      </c>
      <c r="I72" s="45">
        <v>500.0</v>
      </c>
      <c r="J72" s="39">
        <v>6500.0</v>
      </c>
      <c r="K72" s="38" t="s">
        <v>491</v>
      </c>
      <c r="L72" s="38" t="s">
        <v>507</v>
      </c>
      <c r="M72" s="38">
        <v>2.0</v>
      </c>
      <c r="N72" s="41" t="s">
        <v>493</v>
      </c>
      <c r="O72" s="38" t="s">
        <v>586</v>
      </c>
      <c r="P72" s="38" t="s">
        <v>495</v>
      </c>
      <c r="Q72" s="42" t="s">
        <v>504</v>
      </c>
      <c r="R72" s="38" t="s">
        <v>497</v>
      </c>
      <c r="S72" s="41" t="s">
        <v>643</v>
      </c>
      <c r="T72" s="41" t="s">
        <v>553</v>
      </c>
      <c r="U72" s="38" t="s">
        <v>491</v>
      </c>
      <c r="V72" s="38" t="s">
        <v>491</v>
      </c>
      <c r="W72" s="40" t="s">
        <v>500</v>
      </c>
    </row>
    <row r="73" ht="15.75" customHeight="1">
      <c r="A73" s="38" t="s">
        <v>644</v>
      </c>
      <c r="B73" s="38" t="s">
        <v>127</v>
      </c>
      <c r="C73" s="38" t="s">
        <v>502</v>
      </c>
      <c r="D73" s="39">
        <v>2000.0</v>
      </c>
      <c r="E73" s="38" t="s">
        <v>596</v>
      </c>
      <c r="F73" s="39">
        <v>2000.0</v>
      </c>
      <c r="G73" s="46">
        <v>3.0</v>
      </c>
      <c r="H73" s="39">
        <v>600.0</v>
      </c>
      <c r="I73" s="45">
        <v>500.0</v>
      </c>
      <c r="J73" s="39">
        <v>6500.0</v>
      </c>
      <c r="K73" s="38" t="s">
        <v>491</v>
      </c>
      <c r="L73" s="38" t="s">
        <v>507</v>
      </c>
      <c r="M73" s="38">
        <v>2.0</v>
      </c>
      <c r="N73" s="41" t="s">
        <v>493</v>
      </c>
      <c r="O73" s="38" t="s">
        <v>586</v>
      </c>
      <c r="P73" s="38" t="s">
        <v>495</v>
      </c>
      <c r="Q73" s="42" t="s">
        <v>504</v>
      </c>
      <c r="R73" s="38" t="s">
        <v>497</v>
      </c>
      <c r="S73" s="41" t="s">
        <v>643</v>
      </c>
      <c r="T73" s="41" t="s">
        <v>553</v>
      </c>
      <c r="U73" s="38" t="s">
        <v>491</v>
      </c>
      <c r="V73" s="38" t="s">
        <v>491</v>
      </c>
      <c r="W73" s="40" t="s">
        <v>500</v>
      </c>
    </row>
    <row r="74" ht="15.75" customHeight="1">
      <c r="A74" s="38" t="s">
        <v>645</v>
      </c>
      <c r="B74" s="38" t="s">
        <v>129</v>
      </c>
      <c r="C74" s="38" t="s">
        <v>488</v>
      </c>
      <c r="D74" s="39">
        <v>1000.0</v>
      </c>
      <c r="E74" s="38" t="s">
        <v>518</v>
      </c>
      <c r="F74" s="39">
        <v>1000.0</v>
      </c>
      <c r="G74" s="46">
        <v>3.0</v>
      </c>
      <c r="H74" s="39">
        <v>600.0</v>
      </c>
      <c r="I74" s="45" t="s">
        <v>646</v>
      </c>
      <c r="J74" s="39">
        <v>6500.0</v>
      </c>
      <c r="K74" s="38" t="s">
        <v>514</v>
      </c>
      <c r="L74" s="38" t="s">
        <v>492</v>
      </c>
      <c r="M74" s="38">
        <v>2.0</v>
      </c>
      <c r="N74" s="41" t="s">
        <v>493</v>
      </c>
      <c r="O74" s="38" t="s">
        <v>586</v>
      </c>
      <c r="P74" s="38" t="s">
        <v>495</v>
      </c>
      <c r="Q74" s="42" t="s">
        <v>647</v>
      </c>
      <c r="R74" s="38" t="s">
        <v>497</v>
      </c>
      <c r="S74" s="41" t="s">
        <v>648</v>
      </c>
      <c r="T74" s="41" t="s">
        <v>590</v>
      </c>
      <c r="U74" s="38" t="s">
        <v>497</v>
      </c>
      <c r="V74" s="38" t="s">
        <v>497</v>
      </c>
      <c r="W74" s="40" t="s">
        <v>500</v>
      </c>
    </row>
    <row r="75" ht="15.75" customHeight="1">
      <c r="A75" s="38" t="s">
        <v>649</v>
      </c>
      <c r="B75" s="38" t="s">
        <v>129</v>
      </c>
      <c r="C75" s="38" t="s">
        <v>502</v>
      </c>
      <c r="D75" s="39">
        <v>1000.0</v>
      </c>
      <c r="E75" s="38" t="s">
        <v>596</v>
      </c>
      <c r="F75" s="39">
        <v>1000.0</v>
      </c>
      <c r="G75" s="46">
        <v>3.0</v>
      </c>
      <c r="H75" s="39">
        <v>600.0</v>
      </c>
      <c r="I75" s="45" t="s">
        <v>646</v>
      </c>
      <c r="J75" s="39">
        <v>6500.0</v>
      </c>
      <c r="K75" s="38" t="s">
        <v>514</v>
      </c>
      <c r="L75" s="38" t="s">
        <v>492</v>
      </c>
      <c r="M75" s="38">
        <v>2.0</v>
      </c>
      <c r="N75" s="41" t="s">
        <v>493</v>
      </c>
      <c r="O75" s="38" t="s">
        <v>586</v>
      </c>
      <c r="P75" s="38" t="s">
        <v>495</v>
      </c>
      <c r="Q75" s="42" t="s">
        <v>647</v>
      </c>
      <c r="R75" s="38" t="s">
        <v>497</v>
      </c>
      <c r="S75" s="41" t="s">
        <v>648</v>
      </c>
      <c r="T75" s="41" t="s">
        <v>590</v>
      </c>
      <c r="U75" s="38" t="s">
        <v>497</v>
      </c>
      <c r="V75" s="38" t="s">
        <v>497</v>
      </c>
      <c r="W75" s="40" t="s">
        <v>500</v>
      </c>
    </row>
    <row r="76" ht="15.75" customHeight="1">
      <c r="A76" s="38" t="s">
        <v>650</v>
      </c>
      <c r="B76" s="38" t="s">
        <v>131</v>
      </c>
      <c r="C76" s="38" t="s">
        <v>488</v>
      </c>
      <c r="D76" s="39">
        <v>4000.0</v>
      </c>
      <c r="E76" s="38" t="s">
        <v>535</v>
      </c>
      <c r="F76" s="39">
        <v>4000.0</v>
      </c>
      <c r="G76" s="46">
        <v>8.0</v>
      </c>
      <c r="H76" s="39">
        <v>1440.0</v>
      </c>
      <c r="I76" s="45" t="s">
        <v>506</v>
      </c>
      <c r="J76" s="39">
        <v>6500.0</v>
      </c>
      <c r="K76" s="38" t="s">
        <v>514</v>
      </c>
      <c r="L76" s="38" t="s">
        <v>507</v>
      </c>
      <c r="M76" s="38">
        <v>2.0</v>
      </c>
      <c r="N76" s="41" t="s">
        <v>493</v>
      </c>
      <c r="O76" s="38" t="s">
        <v>494</v>
      </c>
      <c r="P76" s="38" t="s">
        <v>495</v>
      </c>
      <c r="Q76" s="42" t="s">
        <v>538</v>
      </c>
      <c r="R76" s="38" t="s">
        <v>497</v>
      </c>
      <c r="S76" s="41" t="s">
        <v>651</v>
      </c>
      <c r="T76" s="41" t="s">
        <v>616</v>
      </c>
      <c r="U76" s="38" t="s">
        <v>497</v>
      </c>
      <c r="V76" s="38" t="s">
        <v>497</v>
      </c>
      <c r="W76" s="40" t="s">
        <v>500</v>
      </c>
    </row>
    <row r="77" ht="15.75" customHeight="1">
      <c r="A77" s="38" t="s">
        <v>652</v>
      </c>
      <c r="B77" s="38" t="s">
        <v>131</v>
      </c>
      <c r="C77" s="38" t="s">
        <v>502</v>
      </c>
      <c r="D77" s="39">
        <v>4000.0</v>
      </c>
      <c r="E77" s="38" t="s">
        <v>596</v>
      </c>
      <c r="F77" s="39">
        <v>4000.0</v>
      </c>
      <c r="G77" s="46">
        <v>1.0</v>
      </c>
      <c r="H77" s="39">
        <v>180.0</v>
      </c>
      <c r="I77" s="45" t="s">
        <v>524</v>
      </c>
      <c r="J77" s="39">
        <v>6500.0</v>
      </c>
      <c r="K77" s="38" t="s">
        <v>514</v>
      </c>
      <c r="L77" s="38" t="s">
        <v>507</v>
      </c>
      <c r="M77" s="38">
        <v>2.0</v>
      </c>
      <c r="N77" s="41" t="s">
        <v>493</v>
      </c>
      <c r="O77" s="38" t="s">
        <v>494</v>
      </c>
      <c r="P77" s="38" t="s">
        <v>495</v>
      </c>
      <c r="Q77" s="42" t="s">
        <v>538</v>
      </c>
      <c r="R77" s="38" t="s">
        <v>497</v>
      </c>
      <c r="S77" s="41" t="s">
        <v>651</v>
      </c>
      <c r="T77" s="41" t="s">
        <v>616</v>
      </c>
      <c r="U77" s="38" t="s">
        <v>497</v>
      </c>
      <c r="V77" s="38" t="s">
        <v>497</v>
      </c>
      <c r="W77" s="40" t="s">
        <v>500</v>
      </c>
    </row>
    <row r="78" ht="15.75" customHeight="1">
      <c r="A78" s="38" t="s">
        <v>653</v>
      </c>
      <c r="B78" s="38" t="s">
        <v>134</v>
      </c>
      <c r="C78" s="38" t="s">
        <v>654</v>
      </c>
      <c r="D78" s="39">
        <v>3200.0</v>
      </c>
      <c r="E78" s="38" t="s">
        <v>518</v>
      </c>
      <c r="F78" s="39">
        <v>3200.0</v>
      </c>
      <c r="G78" s="46">
        <v>15.0</v>
      </c>
      <c r="H78" s="39">
        <f t="shared" ref="H78:H82" si="5">G78*180</f>
        <v>2700</v>
      </c>
      <c r="I78" s="38" t="s">
        <v>513</v>
      </c>
      <c r="J78" s="39">
        <v>6500.0</v>
      </c>
      <c r="K78" s="38" t="s">
        <v>491</v>
      </c>
      <c r="L78" s="38" t="s">
        <v>507</v>
      </c>
      <c r="M78" s="38">
        <v>1.0</v>
      </c>
      <c r="N78" s="41" t="s">
        <v>537</v>
      </c>
      <c r="O78" s="38" t="s">
        <v>494</v>
      </c>
      <c r="P78" s="38" t="s">
        <v>495</v>
      </c>
      <c r="Q78" s="42" t="s">
        <v>538</v>
      </c>
      <c r="R78" s="38" t="s">
        <v>497</v>
      </c>
      <c r="S78" s="41" t="s">
        <v>655</v>
      </c>
      <c r="T78" s="41" t="s">
        <v>656</v>
      </c>
      <c r="U78" s="38" t="s">
        <v>497</v>
      </c>
      <c r="V78" s="38" t="s">
        <v>497</v>
      </c>
      <c r="W78" s="40" t="s">
        <v>500</v>
      </c>
    </row>
    <row r="79" ht="15.75" customHeight="1">
      <c r="A79" s="38" t="s">
        <v>657</v>
      </c>
      <c r="B79" s="38" t="s">
        <v>139</v>
      </c>
      <c r="C79" s="38" t="s">
        <v>654</v>
      </c>
      <c r="D79" s="39">
        <v>3500.0</v>
      </c>
      <c r="E79" s="38" t="s">
        <v>518</v>
      </c>
      <c r="F79" s="39">
        <v>3500.0</v>
      </c>
      <c r="G79" s="46">
        <v>7.0</v>
      </c>
      <c r="H79" s="39">
        <f t="shared" si="5"/>
        <v>1260</v>
      </c>
      <c r="I79" s="45" t="s">
        <v>536</v>
      </c>
      <c r="J79" s="39">
        <v>6500.0</v>
      </c>
      <c r="K79" s="38" t="s">
        <v>491</v>
      </c>
      <c r="L79" s="38" t="s">
        <v>507</v>
      </c>
      <c r="M79" s="38">
        <v>1.0</v>
      </c>
      <c r="N79" s="41" t="s">
        <v>537</v>
      </c>
      <c r="O79" s="38" t="s">
        <v>494</v>
      </c>
      <c r="P79" s="38" t="s">
        <v>495</v>
      </c>
      <c r="Q79" s="42" t="s">
        <v>538</v>
      </c>
      <c r="R79" s="38" t="s">
        <v>497</v>
      </c>
      <c r="S79" s="41" t="s">
        <v>655</v>
      </c>
      <c r="T79" s="41" t="s">
        <v>656</v>
      </c>
      <c r="U79" s="38" t="s">
        <v>497</v>
      </c>
      <c r="V79" s="38" t="s">
        <v>497</v>
      </c>
      <c r="W79" s="40" t="s">
        <v>500</v>
      </c>
    </row>
    <row r="80" ht="15.75" customHeight="1">
      <c r="A80" s="38" t="s">
        <v>658</v>
      </c>
      <c r="B80" s="38" t="s">
        <v>141</v>
      </c>
      <c r="C80" s="38" t="s">
        <v>654</v>
      </c>
      <c r="D80" s="39">
        <v>3000.0</v>
      </c>
      <c r="E80" s="38" t="s">
        <v>518</v>
      </c>
      <c r="F80" s="39">
        <v>3000.0</v>
      </c>
      <c r="G80" s="46">
        <v>7.0</v>
      </c>
      <c r="H80" s="39">
        <f t="shared" si="5"/>
        <v>1260</v>
      </c>
      <c r="I80" s="45" t="s">
        <v>659</v>
      </c>
      <c r="J80" s="39">
        <v>6500.0</v>
      </c>
      <c r="K80" s="38" t="s">
        <v>491</v>
      </c>
      <c r="L80" s="38" t="s">
        <v>507</v>
      </c>
      <c r="M80" s="38">
        <v>1.0</v>
      </c>
      <c r="N80" s="41" t="s">
        <v>537</v>
      </c>
      <c r="O80" s="38" t="s">
        <v>494</v>
      </c>
      <c r="P80" s="38" t="s">
        <v>495</v>
      </c>
      <c r="Q80" s="42" t="s">
        <v>538</v>
      </c>
      <c r="R80" s="38" t="s">
        <v>497</v>
      </c>
      <c r="S80" s="41" t="s">
        <v>655</v>
      </c>
      <c r="T80" s="41" t="s">
        <v>656</v>
      </c>
      <c r="U80" s="38" t="s">
        <v>497</v>
      </c>
      <c r="V80" s="38" t="s">
        <v>497</v>
      </c>
      <c r="W80" s="40" t="s">
        <v>500</v>
      </c>
    </row>
    <row r="81" ht="15.75" customHeight="1">
      <c r="A81" s="38" t="s">
        <v>660</v>
      </c>
      <c r="B81" s="38" t="s">
        <v>143</v>
      </c>
      <c r="C81" s="38" t="s">
        <v>654</v>
      </c>
      <c r="D81" s="39">
        <v>2700.0</v>
      </c>
      <c r="E81" s="38" t="s">
        <v>518</v>
      </c>
      <c r="F81" s="39">
        <v>2700.0</v>
      </c>
      <c r="G81" s="46">
        <v>7.0</v>
      </c>
      <c r="H81" s="39">
        <f t="shared" si="5"/>
        <v>1260</v>
      </c>
      <c r="I81" s="45" t="s">
        <v>536</v>
      </c>
      <c r="J81" s="39">
        <v>6500.0</v>
      </c>
      <c r="K81" s="38" t="s">
        <v>491</v>
      </c>
      <c r="L81" s="38" t="s">
        <v>507</v>
      </c>
      <c r="M81" s="38">
        <v>1.0</v>
      </c>
      <c r="N81" s="41" t="s">
        <v>537</v>
      </c>
      <c r="O81" s="38" t="s">
        <v>494</v>
      </c>
      <c r="P81" s="38" t="s">
        <v>495</v>
      </c>
      <c r="Q81" s="42" t="s">
        <v>538</v>
      </c>
      <c r="R81" s="38" t="s">
        <v>497</v>
      </c>
      <c r="S81" s="41" t="s">
        <v>655</v>
      </c>
      <c r="T81" s="41" t="s">
        <v>656</v>
      </c>
      <c r="U81" s="38" t="s">
        <v>497</v>
      </c>
      <c r="V81" s="38" t="s">
        <v>497</v>
      </c>
      <c r="W81" s="40" t="s">
        <v>500</v>
      </c>
    </row>
    <row r="82" ht="15.75" customHeight="1">
      <c r="A82" s="38" t="s">
        <v>661</v>
      </c>
      <c r="B82" s="38" t="s">
        <v>145</v>
      </c>
      <c r="C82" s="38" t="s">
        <v>654</v>
      </c>
      <c r="D82" s="39">
        <v>5000.0</v>
      </c>
      <c r="E82" s="38" t="s">
        <v>518</v>
      </c>
      <c r="F82" s="39">
        <v>5000.0</v>
      </c>
      <c r="G82" s="46">
        <v>7.0</v>
      </c>
      <c r="H82" s="39">
        <f t="shared" si="5"/>
        <v>1260</v>
      </c>
      <c r="I82" s="45" t="s">
        <v>490</v>
      </c>
      <c r="J82" s="39">
        <v>6500.0</v>
      </c>
      <c r="K82" s="38" t="s">
        <v>514</v>
      </c>
      <c r="L82" s="38" t="s">
        <v>507</v>
      </c>
      <c r="M82" s="38">
        <v>1.0</v>
      </c>
      <c r="N82" s="41" t="s">
        <v>537</v>
      </c>
      <c r="O82" s="38" t="s">
        <v>494</v>
      </c>
      <c r="P82" s="38" t="s">
        <v>495</v>
      </c>
      <c r="Q82" s="42" t="s">
        <v>538</v>
      </c>
      <c r="R82" s="38" t="s">
        <v>497</v>
      </c>
      <c r="S82" s="41" t="s">
        <v>655</v>
      </c>
      <c r="T82" s="41" t="s">
        <v>656</v>
      </c>
      <c r="U82" s="38" t="s">
        <v>497</v>
      </c>
      <c r="V82" s="38" t="s">
        <v>497</v>
      </c>
      <c r="W82" s="40" t="s">
        <v>500</v>
      </c>
    </row>
    <row r="83" ht="15.75" customHeight="1">
      <c r="A83" s="38" t="s">
        <v>662</v>
      </c>
      <c r="B83" s="38" t="s">
        <v>147</v>
      </c>
      <c r="C83" s="38" t="s">
        <v>654</v>
      </c>
      <c r="D83" s="39">
        <v>3500.0</v>
      </c>
      <c r="E83" s="38" t="s">
        <v>518</v>
      </c>
      <c r="F83" s="39">
        <v>3500.0</v>
      </c>
      <c r="G83" s="40">
        <v>7.5</v>
      </c>
      <c r="H83" s="39">
        <f>(G83*180)</f>
        <v>1350</v>
      </c>
      <c r="I83" s="45" t="s">
        <v>536</v>
      </c>
      <c r="J83" s="39">
        <v>6500.0</v>
      </c>
      <c r="K83" s="38" t="s">
        <v>514</v>
      </c>
      <c r="L83" s="38" t="s">
        <v>492</v>
      </c>
      <c r="M83" s="38">
        <v>1.0</v>
      </c>
      <c r="N83" s="41" t="s">
        <v>537</v>
      </c>
      <c r="O83" s="38" t="s">
        <v>494</v>
      </c>
      <c r="P83" s="38" t="s">
        <v>495</v>
      </c>
      <c r="Q83" s="42" t="s">
        <v>538</v>
      </c>
      <c r="R83" s="38" t="s">
        <v>497</v>
      </c>
      <c r="S83" s="41" t="s">
        <v>663</v>
      </c>
      <c r="T83" s="41" t="s">
        <v>574</v>
      </c>
      <c r="U83" s="38" t="s">
        <v>497</v>
      </c>
      <c r="V83" s="38" t="s">
        <v>497</v>
      </c>
      <c r="W83" s="40" t="s">
        <v>500</v>
      </c>
    </row>
    <row r="84" ht="15.75" customHeight="1">
      <c r="A84" s="38" t="s">
        <v>664</v>
      </c>
      <c r="B84" s="38" t="s">
        <v>149</v>
      </c>
      <c r="C84" s="38" t="s">
        <v>654</v>
      </c>
      <c r="D84" s="39">
        <v>3000.0</v>
      </c>
      <c r="E84" s="38" t="s">
        <v>518</v>
      </c>
      <c r="F84" s="39">
        <v>3000.0</v>
      </c>
      <c r="G84" s="46">
        <v>7.0</v>
      </c>
      <c r="H84" s="39">
        <f>G84*180</f>
        <v>1260</v>
      </c>
      <c r="I84" s="45" t="s">
        <v>536</v>
      </c>
      <c r="J84" s="39">
        <v>6500.0</v>
      </c>
      <c r="K84" s="38" t="s">
        <v>491</v>
      </c>
      <c r="L84" s="38" t="s">
        <v>507</v>
      </c>
      <c r="M84" s="38">
        <v>1.0</v>
      </c>
      <c r="N84" s="41" t="s">
        <v>537</v>
      </c>
      <c r="O84" s="38" t="s">
        <v>494</v>
      </c>
      <c r="P84" s="38" t="s">
        <v>495</v>
      </c>
      <c r="Q84" s="42" t="s">
        <v>525</v>
      </c>
      <c r="R84" s="38" t="s">
        <v>497</v>
      </c>
      <c r="S84" s="41" t="s">
        <v>663</v>
      </c>
      <c r="T84" s="41" t="s">
        <v>665</v>
      </c>
      <c r="U84" s="38" t="s">
        <v>497</v>
      </c>
      <c r="V84" s="38" t="s">
        <v>497</v>
      </c>
      <c r="W84" s="40" t="s">
        <v>500</v>
      </c>
    </row>
    <row r="85" ht="15.75" customHeight="1">
      <c r="A85" s="38" t="s">
        <v>666</v>
      </c>
      <c r="B85" s="38" t="s">
        <v>151</v>
      </c>
      <c r="C85" s="38" t="s">
        <v>654</v>
      </c>
      <c r="D85" s="39">
        <v>3200.0</v>
      </c>
      <c r="E85" s="38" t="s">
        <v>518</v>
      </c>
      <c r="F85" s="39">
        <v>3200.0</v>
      </c>
      <c r="G85" s="40">
        <v>7.5</v>
      </c>
      <c r="H85" s="39">
        <f>180*G85</f>
        <v>1350</v>
      </c>
      <c r="I85" s="45" t="s">
        <v>667</v>
      </c>
      <c r="J85" s="39">
        <v>6500.0</v>
      </c>
      <c r="K85" s="38" t="s">
        <v>514</v>
      </c>
      <c r="L85" s="38" t="s">
        <v>492</v>
      </c>
      <c r="M85" s="38">
        <v>1.0</v>
      </c>
      <c r="N85" s="41" t="s">
        <v>537</v>
      </c>
      <c r="O85" s="38" t="s">
        <v>494</v>
      </c>
      <c r="P85" s="38" t="s">
        <v>495</v>
      </c>
      <c r="Q85" s="42" t="s">
        <v>538</v>
      </c>
      <c r="R85" s="38" t="s">
        <v>497</v>
      </c>
      <c r="S85" s="41" t="s">
        <v>668</v>
      </c>
      <c r="T85" s="41" t="s">
        <v>669</v>
      </c>
      <c r="U85" s="38" t="s">
        <v>497</v>
      </c>
      <c r="V85" s="38" t="s">
        <v>497</v>
      </c>
      <c r="W85" s="40" t="s">
        <v>500</v>
      </c>
    </row>
    <row r="86" ht="15.75" customHeight="1">
      <c r="A86" s="38" t="s">
        <v>670</v>
      </c>
      <c r="B86" s="38" t="s">
        <v>153</v>
      </c>
      <c r="C86" s="38" t="s">
        <v>654</v>
      </c>
      <c r="D86" s="39">
        <v>3500.0</v>
      </c>
      <c r="E86" s="38" t="s">
        <v>518</v>
      </c>
      <c r="F86" s="39">
        <v>3500.0</v>
      </c>
      <c r="G86" s="40">
        <v>7.5</v>
      </c>
      <c r="H86" s="39">
        <f t="shared" ref="H86:H87" si="6">G86*180</f>
        <v>1350</v>
      </c>
      <c r="I86" s="45" t="s">
        <v>667</v>
      </c>
      <c r="J86" s="39">
        <v>6500.0</v>
      </c>
      <c r="K86" s="38" t="s">
        <v>491</v>
      </c>
      <c r="L86" s="38" t="s">
        <v>492</v>
      </c>
      <c r="M86" s="38">
        <v>1.0</v>
      </c>
      <c r="N86" s="41" t="s">
        <v>537</v>
      </c>
      <c r="O86" s="38" t="s">
        <v>494</v>
      </c>
      <c r="P86" s="38" t="s">
        <v>495</v>
      </c>
      <c r="Q86" s="42" t="s">
        <v>647</v>
      </c>
      <c r="R86" s="38" t="s">
        <v>497</v>
      </c>
      <c r="S86" s="41" t="s">
        <v>671</v>
      </c>
      <c r="T86" s="41" t="s">
        <v>672</v>
      </c>
      <c r="U86" s="38" t="s">
        <v>497</v>
      </c>
      <c r="V86" s="38" t="s">
        <v>497</v>
      </c>
      <c r="W86" s="40" t="s">
        <v>500</v>
      </c>
    </row>
    <row r="87" ht="15.75" customHeight="1">
      <c r="A87" s="38" t="s">
        <v>673</v>
      </c>
      <c r="B87" s="38" t="s">
        <v>155</v>
      </c>
      <c r="C87" s="38" t="s">
        <v>654</v>
      </c>
      <c r="D87" s="39">
        <v>8000.0</v>
      </c>
      <c r="E87" s="38" t="s">
        <v>518</v>
      </c>
      <c r="F87" s="39">
        <v>8000.0</v>
      </c>
      <c r="G87" s="46">
        <v>16.0</v>
      </c>
      <c r="H87" s="39">
        <f t="shared" si="6"/>
        <v>2880</v>
      </c>
      <c r="I87" s="45" t="s">
        <v>674</v>
      </c>
      <c r="J87" s="39">
        <v>6500.0</v>
      </c>
      <c r="K87" s="38" t="s">
        <v>514</v>
      </c>
      <c r="L87" s="38" t="s">
        <v>507</v>
      </c>
      <c r="M87" s="38">
        <v>1.0</v>
      </c>
      <c r="N87" s="41" t="s">
        <v>537</v>
      </c>
      <c r="O87" s="38" t="s">
        <v>494</v>
      </c>
      <c r="P87" s="38" t="s">
        <v>495</v>
      </c>
      <c r="Q87" s="42" t="s">
        <v>647</v>
      </c>
      <c r="R87" s="38" t="s">
        <v>497</v>
      </c>
      <c r="S87" s="41" t="s">
        <v>663</v>
      </c>
      <c r="T87" s="41" t="s">
        <v>675</v>
      </c>
      <c r="U87" s="38" t="s">
        <v>497</v>
      </c>
      <c r="V87" s="38" t="s">
        <v>497</v>
      </c>
      <c r="W87" s="40" t="s">
        <v>500</v>
      </c>
    </row>
    <row r="88">
      <c r="A88" s="50" t="s">
        <v>676</v>
      </c>
      <c r="B88" s="50" t="s">
        <v>157</v>
      </c>
      <c r="C88" s="51" t="s">
        <v>488</v>
      </c>
      <c r="D88" s="52">
        <v>2000.0</v>
      </c>
      <c r="E88" s="50" t="s">
        <v>599</v>
      </c>
      <c r="F88" s="52">
        <v>2000.0</v>
      </c>
      <c r="G88" s="53">
        <v>5.0</v>
      </c>
      <c r="H88" s="52">
        <f t="shared" ref="H88:H98" si="7">(G88*180)</f>
        <v>900</v>
      </c>
      <c r="I88" s="50" t="s">
        <v>677</v>
      </c>
      <c r="J88" s="52">
        <v>7000.0</v>
      </c>
      <c r="K88" s="50" t="s">
        <v>566</v>
      </c>
      <c r="L88" s="50" t="s">
        <v>507</v>
      </c>
      <c r="M88" s="54">
        <v>1.0</v>
      </c>
      <c r="N88" s="55" t="s">
        <v>678</v>
      </c>
      <c r="O88" s="50" t="s">
        <v>586</v>
      </c>
      <c r="P88" s="50" t="s">
        <v>495</v>
      </c>
      <c r="Q88" s="56" t="s">
        <v>679</v>
      </c>
      <c r="R88" s="50" t="s">
        <v>497</v>
      </c>
      <c r="S88" s="55" t="s">
        <v>680</v>
      </c>
      <c r="T88" s="55" t="s">
        <v>590</v>
      </c>
      <c r="U88" s="50" t="s">
        <v>491</v>
      </c>
      <c r="V88" s="50" t="s">
        <v>491</v>
      </c>
      <c r="W88" s="53" t="s">
        <v>594</v>
      </c>
    </row>
    <row r="89">
      <c r="A89" s="50" t="s">
        <v>681</v>
      </c>
      <c r="B89" s="50" t="s">
        <v>164</v>
      </c>
      <c r="C89" s="51" t="s">
        <v>488</v>
      </c>
      <c r="D89" s="52">
        <v>2000.0</v>
      </c>
      <c r="E89" s="50" t="s">
        <v>599</v>
      </c>
      <c r="F89" s="52">
        <v>2000.0</v>
      </c>
      <c r="G89" s="53">
        <v>4.8</v>
      </c>
      <c r="H89" s="52">
        <f t="shared" si="7"/>
        <v>864</v>
      </c>
      <c r="I89" s="50" t="s">
        <v>682</v>
      </c>
      <c r="J89" s="52">
        <v>7000.0</v>
      </c>
      <c r="K89" s="50" t="s">
        <v>514</v>
      </c>
      <c r="L89" s="50" t="s">
        <v>492</v>
      </c>
      <c r="M89" s="54">
        <v>2.0</v>
      </c>
      <c r="N89" s="55" t="s">
        <v>678</v>
      </c>
      <c r="O89" s="50" t="s">
        <v>494</v>
      </c>
      <c r="P89" s="50" t="s">
        <v>495</v>
      </c>
      <c r="Q89" s="56" t="s">
        <v>679</v>
      </c>
      <c r="R89" s="50" t="s">
        <v>497</v>
      </c>
      <c r="S89" s="55" t="s">
        <v>683</v>
      </c>
      <c r="T89" s="55" t="s">
        <v>532</v>
      </c>
      <c r="U89" s="50" t="s">
        <v>497</v>
      </c>
      <c r="V89" s="50" t="s">
        <v>497</v>
      </c>
      <c r="W89" s="53" t="s">
        <v>500</v>
      </c>
    </row>
    <row r="90">
      <c r="A90" s="50" t="s">
        <v>684</v>
      </c>
      <c r="B90" s="50" t="s">
        <v>164</v>
      </c>
      <c r="C90" s="57" t="s">
        <v>502</v>
      </c>
      <c r="D90" s="52">
        <v>2000.0</v>
      </c>
      <c r="E90" s="50" t="s">
        <v>375</v>
      </c>
      <c r="F90" s="52">
        <v>2000.0</v>
      </c>
      <c r="G90" s="53">
        <v>4.8</v>
      </c>
      <c r="H90" s="52">
        <f t="shared" si="7"/>
        <v>864</v>
      </c>
      <c r="I90" s="50" t="s">
        <v>682</v>
      </c>
      <c r="J90" s="52">
        <v>6500.0</v>
      </c>
      <c r="K90" s="50" t="s">
        <v>514</v>
      </c>
      <c r="L90" s="50" t="s">
        <v>492</v>
      </c>
      <c r="M90" s="54">
        <v>2.0</v>
      </c>
      <c r="N90" s="55" t="s">
        <v>678</v>
      </c>
      <c r="O90" s="50" t="s">
        <v>494</v>
      </c>
      <c r="P90" s="50" t="s">
        <v>495</v>
      </c>
      <c r="Q90" s="56" t="s">
        <v>679</v>
      </c>
      <c r="R90" s="50" t="s">
        <v>497</v>
      </c>
      <c r="S90" s="55" t="s">
        <v>683</v>
      </c>
      <c r="T90" s="55" t="s">
        <v>532</v>
      </c>
      <c r="U90" s="50" t="s">
        <v>497</v>
      </c>
      <c r="V90" s="50" t="s">
        <v>497</v>
      </c>
      <c r="W90" s="53" t="s">
        <v>500</v>
      </c>
    </row>
    <row r="91" ht="15.75" customHeight="1">
      <c r="A91" s="50" t="s">
        <v>685</v>
      </c>
      <c r="B91" s="50" t="s">
        <v>167</v>
      </c>
      <c r="C91" s="51" t="s">
        <v>488</v>
      </c>
      <c r="D91" s="52">
        <v>1000.0</v>
      </c>
      <c r="E91" s="50" t="s">
        <v>599</v>
      </c>
      <c r="F91" s="52">
        <v>1000.0</v>
      </c>
      <c r="G91" s="53">
        <v>3.0</v>
      </c>
      <c r="H91" s="52">
        <f t="shared" si="7"/>
        <v>540</v>
      </c>
      <c r="I91" s="50" t="s">
        <v>686</v>
      </c>
      <c r="J91" s="52">
        <v>6500.0</v>
      </c>
      <c r="K91" s="50" t="s">
        <v>514</v>
      </c>
      <c r="L91" s="50" t="s">
        <v>492</v>
      </c>
      <c r="M91" s="54">
        <v>2.0</v>
      </c>
      <c r="N91" s="55" t="s">
        <v>678</v>
      </c>
      <c r="O91" s="50" t="s">
        <v>494</v>
      </c>
      <c r="P91" s="50" t="s">
        <v>495</v>
      </c>
      <c r="Q91" s="56" t="s">
        <v>679</v>
      </c>
      <c r="R91" s="50" t="s">
        <v>497</v>
      </c>
      <c r="S91" s="55" t="s">
        <v>683</v>
      </c>
      <c r="T91" s="55" t="s">
        <v>532</v>
      </c>
      <c r="U91" s="50" t="s">
        <v>497</v>
      </c>
      <c r="V91" s="50" t="s">
        <v>497</v>
      </c>
      <c r="W91" s="53" t="s">
        <v>500</v>
      </c>
    </row>
    <row r="92" ht="15.75" customHeight="1">
      <c r="A92" s="50" t="s">
        <v>687</v>
      </c>
      <c r="B92" s="50" t="s">
        <v>167</v>
      </c>
      <c r="C92" s="57" t="s">
        <v>502</v>
      </c>
      <c r="D92" s="52">
        <v>1000.0</v>
      </c>
      <c r="E92" s="50" t="s">
        <v>375</v>
      </c>
      <c r="F92" s="52">
        <v>1000.0</v>
      </c>
      <c r="G92" s="53">
        <v>3.0</v>
      </c>
      <c r="H92" s="52">
        <f t="shared" si="7"/>
        <v>540</v>
      </c>
      <c r="I92" s="50" t="s">
        <v>686</v>
      </c>
      <c r="J92" s="52">
        <v>6500.0</v>
      </c>
      <c r="K92" s="50" t="s">
        <v>514</v>
      </c>
      <c r="L92" s="50" t="s">
        <v>492</v>
      </c>
      <c r="M92" s="54">
        <v>2.0</v>
      </c>
      <c r="N92" s="55" t="s">
        <v>678</v>
      </c>
      <c r="O92" s="50" t="s">
        <v>494</v>
      </c>
      <c r="P92" s="50" t="s">
        <v>495</v>
      </c>
      <c r="Q92" s="56" t="s">
        <v>679</v>
      </c>
      <c r="R92" s="50" t="s">
        <v>497</v>
      </c>
      <c r="S92" s="55" t="s">
        <v>683</v>
      </c>
      <c r="T92" s="55" t="s">
        <v>532</v>
      </c>
      <c r="U92" s="50" t="s">
        <v>497</v>
      </c>
      <c r="V92" s="50" t="s">
        <v>497</v>
      </c>
      <c r="W92" s="53" t="s">
        <v>500</v>
      </c>
    </row>
    <row r="93" ht="15.75" customHeight="1">
      <c r="A93" s="50" t="s">
        <v>688</v>
      </c>
      <c r="B93" s="50" t="s">
        <v>169</v>
      </c>
      <c r="C93" s="51" t="s">
        <v>488</v>
      </c>
      <c r="D93" s="52">
        <v>800.0</v>
      </c>
      <c r="E93" s="50" t="s">
        <v>599</v>
      </c>
      <c r="F93" s="52">
        <v>800.0</v>
      </c>
      <c r="G93" s="53">
        <v>8.0</v>
      </c>
      <c r="H93" s="52">
        <f t="shared" si="7"/>
        <v>1440</v>
      </c>
      <c r="I93" s="50" t="s">
        <v>490</v>
      </c>
      <c r="J93" s="52">
        <v>7000.0</v>
      </c>
      <c r="K93" s="50" t="s">
        <v>514</v>
      </c>
      <c r="L93" s="50" t="s">
        <v>492</v>
      </c>
      <c r="M93" s="54">
        <v>1.0</v>
      </c>
      <c r="N93" s="55" t="s">
        <v>678</v>
      </c>
      <c r="O93" s="50" t="s">
        <v>494</v>
      </c>
      <c r="P93" s="50" t="s">
        <v>495</v>
      </c>
      <c r="Q93" s="56" t="s">
        <v>679</v>
      </c>
      <c r="R93" s="50" t="s">
        <v>497</v>
      </c>
      <c r="S93" s="55" t="s">
        <v>689</v>
      </c>
      <c r="T93" s="55" t="s">
        <v>616</v>
      </c>
      <c r="U93" s="50" t="s">
        <v>497</v>
      </c>
      <c r="V93" s="50" t="s">
        <v>497</v>
      </c>
      <c r="W93" s="53" t="s">
        <v>500</v>
      </c>
    </row>
    <row r="94" ht="15.75" customHeight="1">
      <c r="A94" s="50" t="s">
        <v>690</v>
      </c>
      <c r="B94" s="50" t="s">
        <v>172</v>
      </c>
      <c r="C94" s="51" t="s">
        <v>488</v>
      </c>
      <c r="D94" s="52">
        <v>1000.0</v>
      </c>
      <c r="E94" s="50" t="s">
        <v>599</v>
      </c>
      <c r="F94" s="52">
        <v>1000.0</v>
      </c>
      <c r="G94" s="53">
        <v>3.0</v>
      </c>
      <c r="H94" s="52">
        <f t="shared" si="7"/>
        <v>540</v>
      </c>
      <c r="I94" s="50" t="s">
        <v>513</v>
      </c>
      <c r="J94" s="55" t="s">
        <v>691</v>
      </c>
      <c r="K94" s="50" t="s">
        <v>491</v>
      </c>
      <c r="L94" s="50" t="s">
        <v>492</v>
      </c>
      <c r="M94" s="54">
        <v>1.0</v>
      </c>
      <c r="N94" s="55" t="s">
        <v>692</v>
      </c>
      <c r="O94" s="50" t="s">
        <v>494</v>
      </c>
      <c r="P94" s="50" t="s">
        <v>495</v>
      </c>
      <c r="Q94" s="56" t="s">
        <v>679</v>
      </c>
      <c r="R94" s="50" t="s">
        <v>497</v>
      </c>
      <c r="S94" s="55" t="s">
        <v>683</v>
      </c>
      <c r="T94" s="55" t="s">
        <v>553</v>
      </c>
      <c r="U94" s="50" t="s">
        <v>497</v>
      </c>
      <c r="V94" s="50" t="s">
        <v>497</v>
      </c>
      <c r="W94" s="53" t="s">
        <v>500</v>
      </c>
    </row>
    <row r="95" ht="15.75" customHeight="1">
      <c r="A95" s="50" t="s">
        <v>693</v>
      </c>
      <c r="B95" s="50" t="s">
        <v>174</v>
      </c>
      <c r="C95" s="51" t="s">
        <v>488</v>
      </c>
      <c r="D95" s="52">
        <v>600.0</v>
      </c>
      <c r="E95" s="50" t="s">
        <v>599</v>
      </c>
      <c r="F95" s="52">
        <v>600.0</v>
      </c>
      <c r="G95" s="53">
        <v>3.0</v>
      </c>
      <c r="H95" s="52">
        <f t="shared" si="7"/>
        <v>540</v>
      </c>
      <c r="I95" s="50" t="s">
        <v>513</v>
      </c>
      <c r="J95" s="55" t="s">
        <v>691</v>
      </c>
      <c r="K95" s="50" t="s">
        <v>491</v>
      </c>
      <c r="L95" s="50" t="s">
        <v>492</v>
      </c>
      <c r="M95" s="54">
        <v>1.0</v>
      </c>
      <c r="N95" s="55" t="s">
        <v>692</v>
      </c>
      <c r="O95" s="50" t="s">
        <v>494</v>
      </c>
      <c r="P95" s="50" t="s">
        <v>495</v>
      </c>
      <c r="Q95" s="56" t="s">
        <v>679</v>
      </c>
      <c r="R95" s="50" t="s">
        <v>497</v>
      </c>
      <c r="S95" s="55" t="s">
        <v>683</v>
      </c>
      <c r="T95" s="55" t="s">
        <v>553</v>
      </c>
      <c r="U95" s="50" t="s">
        <v>497</v>
      </c>
      <c r="V95" s="50" t="s">
        <v>497</v>
      </c>
      <c r="W95" s="53" t="s">
        <v>500</v>
      </c>
    </row>
    <row r="96" ht="15.75" customHeight="1">
      <c r="A96" s="50" t="s">
        <v>694</v>
      </c>
      <c r="B96" s="50" t="s">
        <v>176</v>
      </c>
      <c r="C96" s="51" t="s">
        <v>488</v>
      </c>
      <c r="D96" s="52">
        <v>4000.0</v>
      </c>
      <c r="E96" s="50" t="s">
        <v>599</v>
      </c>
      <c r="F96" s="52">
        <v>4000.0</v>
      </c>
      <c r="G96" s="53">
        <v>10.0</v>
      </c>
      <c r="H96" s="52">
        <f t="shared" si="7"/>
        <v>1800</v>
      </c>
      <c r="I96" s="50" t="s">
        <v>506</v>
      </c>
      <c r="J96" s="52">
        <v>6500.0</v>
      </c>
      <c r="K96" s="50" t="s">
        <v>514</v>
      </c>
      <c r="L96" s="50" t="s">
        <v>492</v>
      </c>
      <c r="M96" s="54">
        <v>2.0</v>
      </c>
      <c r="N96" s="55" t="s">
        <v>678</v>
      </c>
      <c r="O96" s="50" t="s">
        <v>494</v>
      </c>
      <c r="P96" s="50" t="s">
        <v>495</v>
      </c>
      <c r="Q96" s="56" t="s">
        <v>679</v>
      </c>
      <c r="R96" s="50" t="s">
        <v>497</v>
      </c>
      <c r="S96" s="55" t="s">
        <v>683</v>
      </c>
      <c r="T96" s="55" t="s">
        <v>532</v>
      </c>
      <c r="U96" s="50" t="s">
        <v>497</v>
      </c>
      <c r="V96" s="50" t="s">
        <v>497</v>
      </c>
      <c r="W96" s="53" t="s">
        <v>500</v>
      </c>
    </row>
    <row r="97" ht="15.75" customHeight="1">
      <c r="A97" s="50" t="s">
        <v>695</v>
      </c>
      <c r="B97" s="50" t="s">
        <v>176</v>
      </c>
      <c r="C97" s="57" t="s">
        <v>502</v>
      </c>
      <c r="D97" s="52">
        <v>4000.0</v>
      </c>
      <c r="E97" s="50" t="s">
        <v>375</v>
      </c>
      <c r="F97" s="52">
        <v>4000.0</v>
      </c>
      <c r="G97" s="53">
        <v>10.0</v>
      </c>
      <c r="H97" s="52">
        <f t="shared" si="7"/>
        <v>1800</v>
      </c>
      <c r="I97" s="50" t="s">
        <v>506</v>
      </c>
      <c r="J97" s="52">
        <v>6500.0</v>
      </c>
      <c r="K97" s="50" t="s">
        <v>514</v>
      </c>
      <c r="L97" s="50" t="s">
        <v>492</v>
      </c>
      <c r="M97" s="54">
        <v>2.0</v>
      </c>
      <c r="N97" s="55" t="s">
        <v>678</v>
      </c>
      <c r="O97" s="50" t="s">
        <v>494</v>
      </c>
      <c r="P97" s="50" t="s">
        <v>495</v>
      </c>
      <c r="Q97" s="56" t="s">
        <v>679</v>
      </c>
      <c r="R97" s="50" t="s">
        <v>497</v>
      </c>
      <c r="S97" s="55" t="s">
        <v>683</v>
      </c>
      <c r="T97" s="55" t="s">
        <v>532</v>
      </c>
      <c r="U97" s="50" t="s">
        <v>497</v>
      </c>
      <c r="V97" s="50" t="s">
        <v>497</v>
      </c>
      <c r="W97" s="53" t="s">
        <v>500</v>
      </c>
    </row>
    <row r="98" ht="15.75" customHeight="1">
      <c r="A98" s="50" t="s">
        <v>696</v>
      </c>
      <c r="B98" s="50" t="s">
        <v>178</v>
      </c>
      <c r="C98" s="51" t="s">
        <v>488</v>
      </c>
      <c r="D98" s="52">
        <v>500.0</v>
      </c>
      <c r="E98" s="50" t="s">
        <v>599</v>
      </c>
      <c r="F98" s="52">
        <v>500.0</v>
      </c>
      <c r="G98" s="53">
        <v>5.0</v>
      </c>
      <c r="H98" s="52">
        <f t="shared" si="7"/>
        <v>900</v>
      </c>
      <c r="I98" s="50" t="s">
        <v>697</v>
      </c>
      <c r="J98" s="55" t="s">
        <v>691</v>
      </c>
      <c r="K98" s="50" t="s">
        <v>491</v>
      </c>
      <c r="L98" s="50" t="s">
        <v>492</v>
      </c>
      <c r="M98" s="54">
        <v>1.0</v>
      </c>
      <c r="N98" s="55" t="s">
        <v>698</v>
      </c>
      <c r="O98" s="50" t="s">
        <v>494</v>
      </c>
      <c r="P98" s="50" t="s">
        <v>495</v>
      </c>
      <c r="Q98" s="56" t="s">
        <v>679</v>
      </c>
      <c r="R98" s="50" t="s">
        <v>497</v>
      </c>
      <c r="S98" s="55" t="s">
        <v>634</v>
      </c>
      <c r="T98" s="55" t="s">
        <v>574</v>
      </c>
      <c r="U98" s="50" t="s">
        <v>497</v>
      </c>
      <c r="V98" s="50" t="s">
        <v>497</v>
      </c>
      <c r="W98" s="53" t="s">
        <v>500</v>
      </c>
    </row>
    <row r="99" ht="15.75" customHeight="1">
      <c r="A99" s="50" t="s">
        <v>699</v>
      </c>
      <c r="B99" s="50" t="s">
        <v>180</v>
      </c>
      <c r="C99" s="51" t="s">
        <v>488</v>
      </c>
      <c r="D99" s="52">
        <v>3744.0</v>
      </c>
      <c r="E99" s="50" t="s">
        <v>489</v>
      </c>
      <c r="F99" s="52">
        <v>3744.0</v>
      </c>
      <c r="G99" s="53">
        <v>10.0</v>
      </c>
      <c r="H99" s="52">
        <v>1890.0</v>
      </c>
      <c r="I99" s="50" t="s">
        <v>700</v>
      </c>
      <c r="J99" s="52">
        <v>6500.0</v>
      </c>
      <c r="K99" s="50" t="s">
        <v>514</v>
      </c>
      <c r="L99" s="50" t="s">
        <v>507</v>
      </c>
      <c r="M99" s="54">
        <v>2.0</v>
      </c>
      <c r="N99" s="55" t="s">
        <v>537</v>
      </c>
      <c r="O99" s="50" t="s">
        <v>494</v>
      </c>
      <c r="P99" s="50" t="s">
        <v>495</v>
      </c>
      <c r="Q99" s="56" t="s">
        <v>538</v>
      </c>
      <c r="R99" s="50" t="s">
        <v>497</v>
      </c>
      <c r="S99" s="55" t="s">
        <v>634</v>
      </c>
      <c r="T99" s="55" t="s">
        <v>590</v>
      </c>
      <c r="U99" s="50" t="s">
        <v>497</v>
      </c>
      <c r="V99" s="50" t="s">
        <v>497</v>
      </c>
      <c r="W99" s="53" t="s">
        <v>701</v>
      </c>
    </row>
    <row r="100" ht="15.75" customHeight="1">
      <c r="A100" s="50" t="s">
        <v>702</v>
      </c>
      <c r="B100" s="50" t="s">
        <v>180</v>
      </c>
      <c r="C100" s="51" t="s">
        <v>502</v>
      </c>
      <c r="D100" s="52">
        <v>3744.0</v>
      </c>
      <c r="E100" s="50" t="s">
        <v>375</v>
      </c>
      <c r="F100" s="52">
        <v>3744.0</v>
      </c>
      <c r="G100" s="53">
        <v>8.0</v>
      </c>
      <c r="H100" s="52">
        <v>1500.0</v>
      </c>
      <c r="I100" s="50" t="s">
        <v>703</v>
      </c>
      <c r="J100" s="52">
        <v>6500.0</v>
      </c>
      <c r="K100" s="50" t="s">
        <v>514</v>
      </c>
      <c r="L100" s="50" t="s">
        <v>507</v>
      </c>
      <c r="M100" s="54">
        <v>2.0</v>
      </c>
      <c r="N100" s="55" t="s">
        <v>537</v>
      </c>
      <c r="O100" s="50" t="s">
        <v>494</v>
      </c>
      <c r="P100" s="50" t="s">
        <v>495</v>
      </c>
      <c r="Q100" s="56" t="s">
        <v>538</v>
      </c>
      <c r="R100" s="50" t="s">
        <v>497</v>
      </c>
      <c r="S100" s="55" t="s">
        <v>634</v>
      </c>
      <c r="T100" s="55" t="s">
        <v>590</v>
      </c>
      <c r="U100" s="50" t="s">
        <v>497</v>
      </c>
      <c r="V100" s="50" t="s">
        <v>497</v>
      </c>
      <c r="W100" s="53" t="s">
        <v>701</v>
      </c>
    </row>
    <row r="101" ht="15.75" customHeight="1">
      <c r="A101" s="50" t="s">
        <v>704</v>
      </c>
      <c r="B101" s="50" t="s">
        <v>182</v>
      </c>
      <c r="C101" s="51" t="s">
        <v>488</v>
      </c>
      <c r="D101" s="52">
        <v>1560.0</v>
      </c>
      <c r="E101" s="50" t="s">
        <v>489</v>
      </c>
      <c r="F101" s="52">
        <v>1560.0</v>
      </c>
      <c r="G101" s="53">
        <v>4.0</v>
      </c>
      <c r="H101" s="52">
        <v>850.0</v>
      </c>
      <c r="I101" s="50" t="s">
        <v>506</v>
      </c>
      <c r="J101" s="52">
        <v>6500.0</v>
      </c>
      <c r="K101" s="50" t="s">
        <v>514</v>
      </c>
      <c r="L101" s="50" t="s">
        <v>507</v>
      </c>
      <c r="M101" s="54">
        <v>2.0</v>
      </c>
      <c r="N101" s="55" t="s">
        <v>537</v>
      </c>
      <c r="O101" s="50" t="s">
        <v>494</v>
      </c>
      <c r="P101" s="50" t="s">
        <v>495</v>
      </c>
      <c r="Q101" s="56" t="s">
        <v>538</v>
      </c>
      <c r="R101" s="50" t="s">
        <v>497</v>
      </c>
      <c r="S101" s="55" t="s">
        <v>648</v>
      </c>
      <c r="T101" s="55" t="s">
        <v>590</v>
      </c>
      <c r="U101" s="50" t="s">
        <v>497</v>
      </c>
      <c r="V101" s="50" t="s">
        <v>497</v>
      </c>
      <c r="W101" s="53" t="s">
        <v>701</v>
      </c>
    </row>
    <row r="102" ht="15.75" customHeight="1">
      <c r="A102" s="50" t="s">
        <v>705</v>
      </c>
      <c r="B102" s="50" t="s">
        <v>182</v>
      </c>
      <c r="C102" s="51" t="s">
        <v>502</v>
      </c>
      <c r="D102" s="52">
        <v>1560.0</v>
      </c>
      <c r="E102" s="50" t="s">
        <v>375</v>
      </c>
      <c r="F102" s="52">
        <v>1560.0</v>
      </c>
      <c r="G102" s="53">
        <v>4.0</v>
      </c>
      <c r="H102" s="52">
        <v>720.0</v>
      </c>
      <c r="I102" s="50" t="s">
        <v>667</v>
      </c>
      <c r="J102" s="52">
        <v>6500.0</v>
      </c>
      <c r="K102" s="50" t="s">
        <v>514</v>
      </c>
      <c r="L102" s="50" t="s">
        <v>507</v>
      </c>
      <c r="M102" s="54">
        <v>2.0</v>
      </c>
      <c r="N102" s="55" t="s">
        <v>537</v>
      </c>
      <c r="O102" s="50" t="s">
        <v>494</v>
      </c>
      <c r="P102" s="50" t="s">
        <v>495</v>
      </c>
      <c r="Q102" s="56" t="s">
        <v>538</v>
      </c>
      <c r="R102" s="50" t="s">
        <v>497</v>
      </c>
      <c r="S102" s="55" t="s">
        <v>648</v>
      </c>
      <c r="T102" s="55" t="s">
        <v>590</v>
      </c>
      <c r="U102" s="50" t="s">
        <v>497</v>
      </c>
      <c r="V102" s="50" t="s">
        <v>497</v>
      </c>
      <c r="W102" s="53" t="s">
        <v>701</v>
      </c>
    </row>
    <row r="103" ht="15.75" customHeight="1">
      <c r="A103" s="50" t="s">
        <v>706</v>
      </c>
      <c r="B103" s="50" t="s">
        <v>186</v>
      </c>
      <c r="C103" s="51" t="s">
        <v>488</v>
      </c>
      <c r="D103" s="52">
        <v>3400.0</v>
      </c>
      <c r="E103" s="50" t="s">
        <v>599</v>
      </c>
      <c r="F103" s="52">
        <v>3400.0</v>
      </c>
      <c r="G103" s="53">
        <v>6.0</v>
      </c>
      <c r="H103" s="52">
        <f t="shared" ref="H103:H113" si="8">(G103*180)</f>
        <v>1080</v>
      </c>
      <c r="I103" s="50" t="s">
        <v>513</v>
      </c>
      <c r="J103" s="52">
        <v>6500.0</v>
      </c>
      <c r="K103" s="50" t="s">
        <v>491</v>
      </c>
      <c r="L103" s="50" t="s">
        <v>492</v>
      </c>
      <c r="M103" s="54">
        <v>1.0</v>
      </c>
      <c r="N103" s="55" t="s">
        <v>678</v>
      </c>
      <c r="O103" s="50" t="s">
        <v>494</v>
      </c>
      <c r="P103" s="50" t="s">
        <v>495</v>
      </c>
      <c r="Q103" s="56" t="s">
        <v>679</v>
      </c>
      <c r="R103" s="50" t="s">
        <v>497</v>
      </c>
      <c r="S103" s="55" t="s">
        <v>634</v>
      </c>
      <c r="T103" s="55" t="s">
        <v>532</v>
      </c>
      <c r="U103" s="50" t="s">
        <v>497</v>
      </c>
      <c r="V103" s="50" t="s">
        <v>497</v>
      </c>
      <c r="W103" s="53" t="s">
        <v>500</v>
      </c>
    </row>
    <row r="104" ht="15.75" customHeight="1">
      <c r="A104" s="50" t="s">
        <v>707</v>
      </c>
      <c r="B104" s="50" t="s">
        <v>188</v>
      </c>
      <c r="C104" s="51" t="s">
        <v>488</v>
      </c>
      <c r="D104" s="52">
        <v>3400.0</v>
      </c>
      <c r="E104" s="50" t="s">
        <v>599</v>
      </c>
      <c r="F104" s="52">
        <v>3400.0</v>
      </c>
      <c r="G104" s="53">
        <v>6.0</v>
      </c>
      <c r="H104" s="52">
        <f t="shared" si="8"/>
        <v>1080</v>
      </c>
      <c r="I104" s="50" t="s">
        <v>536</v>
      </c>
      <c r="J104" s="52">
        <v>6500.0</v>
      </c>
      <c r="K104" s="50" t="s">
        <v>491</v>
      </c>
      <c r="L104" s="50" t="s">
        <v>492</v>
      </c>
      <c r="M104" s="54">
        <v>1.0</v>
      </c>
      <c r="N104" s="55" t="s">
        <v>678</v>
      </c>
      <c r="O104" s="50" t="s">
        <v>494</v>
      </c>
      <c r="P104" s="50" t="s">
        <v>495</v>
      </c>
      <c r="Q104" s="56" t="s">
        <v>679</v>
      </c>
      <c r="R104" s="50" t="s">
        <v>497</v>
      </c>
      <c r="S104" s="55" t="s">
        <v>634</v>
      </c>
      <c r="T104" s="55" t="s">
        <v>532</v>
      </c>
      <c r="U104" s="50" t="s">
        <v>497</v>
      </c>
      <c r="V104" s="50" t="s">
        <v>497</v>
      </c>
      <c r="W104" s="53" t="s">
        <v>500</v>
      </c>
    </row>
    <row r="105" ht="15.75" customHeight="1">
      <c r="A105" s="50" t="s">
        <v>708</v>
      </c>
      <c r="B105" s="50" t="s">
        <v>190</v>
      </c>
      <c r="C105" s="51" t="s">
        <v>488</v>
      </c>
      <c r="D105" s="52">
        <v>1000.0</v>
      </c>
      <c r="E105" s="50" t="s">
        <v>599</v>
      </c>
      <c r="F105" s="52">
        <v>1000.0</v>
      </c>
      <c r="G105" s="53">
        <v>4.0</v>
      </c>
      <c r="H105" s="52">
        <f t="shared" si="8"/>
        <v>720</v>
      </c>
      <c r="I105" s="50" t="s">
        <v>513</v>
      </c>
      <c r="J105" s="52">
        <v>6500.0</v>
      </c>
      <c r="K105" s="50" t="s">
        <v>491</v>
      </c>
      <c r="L105" s="50" t="s">
        <v>492</v>
      </c>
      <c r="M105" s="54">
        <v>1.0</v>
      </c>
      <c r="N105" s="55" t="s">
        <v>678</v>
      </c>
      <c r="O105" s="50" t="s">
        <v>494</v>
      </c>
      <c r="P105" s="50" t="s">
        <v>495</v>
      </c>
      <c r="Q105" s="56" t="s">
        <v>679</v>
      </c>
      <c r="R105" s="50" t="s">
        <v>497</v>
      </c>
      <c r="S105" s="55" t="s">
        <v>634</v>
      </c>
      <c r="T105" s="55" t="s">
        <v>532</v>
      </c>
      <c r="U105" s="50" t="s">
        <v>497</v>
      </c>
      <c r="V105" s="50" t="s">
        <v>497</v>
      </c>
      <c r="W105" s="53" t="s">
        <v>500</v>
      </c>
    </row>
    <row r="106" ht="15.75" customHeight="1">
      <c r="A106" s="50" t="s">
        <v>709</v>
      </c>
      <c r="B106" s="50" t="s">
        <v>192</v>
      </c>
      <c r="C106" s="51" t="s">
        <v>488</v>
      </c>
      <c r="D106" s="52">
        <v>1000.0</v>
      </c>
      <c r="E106" s="50" t="s">
        <v>599</v>
      </c>
      <c r="F106" s="52">
        <v>1000.0</v>
      </c>
      <c r="G106" s="53">
        <v>4.0</v>
      </c>
      <c r="H106" s="52">
        <f t="shared" si="8"/>
        <v>720</v>
      </c>
      <c r="I106" s="50" t="s">
        <v>600</v>
      </c>
      <c r="J106" s="52">
        <v>6000.0</v>
      </c>
      <c r="K106" s="50" t="s">
        <v>491</v>
      </c>
      <c r="L106" s="50" t="s">
        <v>492</v>
      </c>
      <c r="M106" s="54">
        <v>1.0</v>
      </c>
      <c r="N106" s="55" t="s">
        <v>678</v>
      </c>
      <c r="O106" s="50" t="s">
        <v>494</v>
      </c>
      <c r="P106" s="50" t="s">
        <v>495</v>
      </c>
      <c r="Q106" s="56" t="s">
        <v>679</v>
      </c>
      <c r="R106" s="50" t="s">
        <v>497</v>
      </c>
      <c r="S106" s="55" t="s">
        <v>634</v>
      </c>
      <c r="T106" s="55" t="s">
        <v>532</v>
      </c>
      <c r="U106" s="50" t="s">
        <v>497</v>
      </c>
      <c r="V106" s="50" t="s">
        <v>497</v>
      </c>
      <c r="W106" s="53" t="s">
        <v>500</v>
      </c>
    </row>
    <row r="107" ht="15.75" customHeight="1">
      <c r="A107" s="50" t="s">
        <v>710</v>
      </c>
      <c r="B107" s="50" t="s">
        <v>194</v>
      </c>
      <c r="C107" s="51" t="s">
        <v>488</v>
      </c>
      <c r="D107" s="52">
        <v>3400.0</v>
      </c>
      <c r="E107" s="50" t="s">
        <v>599</v>
      </c>
      <c r="F107" s="52">
        <v>3400.0</v>
      </c>
      <c r="G107" s="53">
        <v>5.0</v>
      </c>
      <c r="H107" s="52">
        <f t="shared" si="8"/>
        <v>900</v>
      </c>
      <c r="I107" s="50" t="s">
        <v>524</v>
      </c>
      <c r="J107" s="52">
        <v>6500.0</v>
      </c>
      <c r="K107" s="50" t="s">
        <v>491</v>
      </c>
      <c r="L107" s="50" t="s">
        <v>492</v>
      </c>
      <c r="M107" s="54">
        <v>1.0</v>
      </c>
      <c r="N107" s="55" t="s">
        <v>678</v>
      </c>
      <c r="O107" s="50" t="s">
        <v>494</v>
      </c>
      <c r="P107" s="50" t="s">
        <v>495</v>
      </c>
      <c r="Q107" s="56" t="s">
        <v>679</v>
      </c>
      <c r="R107" s="50" t="s">
        <v>497</v>
      </c>
      <c r="S107" s="55" t="s">
        <v>634</v>
      </c>
      <c r="T107" s="55" t="s">
        <v>532</v>
      </c>
      <c r="U107" s="50" t="s">
        <v>497</v>
      </c>
      <c r="V107" s="50" t="s">
        <v>497</v>
      </c>
      <c r="W107" s="53" t="s">
        <v>500</v>
      </c>
    </row>
    <row r="108" ht="15.75" customHeight="1">
      <c r="A108" s="50" t="s">
        <v>711</v>
      </c>
      <c r="B108" s="50" t="s">
        <v>196</v>
      </c>
      <c r="C108" s="51" t="s">
        <v>488</v>
      </c>
      <c r="D108" s="52">
        <v>2400.0</v>
      </c>
      <c r="E108" s="50" t="s">
        <v>599</v>
      </c>
      <c r="F108" s="52">
        <v>2400.0</v>
      </c>
      <c r="G108" s="53">
        <v>3.0</v>
      </c>
      <c r="H108" s="52">
        <f t="shared" si="8"/>
        <v>540</v>
      </c>
      <c r="I108" s="50" t="s">
        <v>513</v>
      </c>
      <c r="J108" s="52">
        <v>6500.0</v>
      </c>
      <c r="K108" s="50" t="s">
        <v>491</v>
      </c>
      <c r="L108" s="50" t="s">
        <v>492</v>
      </c>
      <c r="M108" s="54">
        <v>1.0</v>
      </c>
      <c r="N108" s="55" t="s">
        <v>678</v>
      </c>
      <c r="O108" s="50" t="s">
        <v>494</v>
      </c>
      <c r="P108" s="50" t="s">
        <v>495</v>
      </c>
      <c r="Q108" s="56" t="s">
        <v>679</v>
      </c>
      <c r="R108" s="50" t="s">
        <v>497</v>
      </c>
      <c r="S108" s="55" t="s">
        <v>634</v>
      </c>
      <c r="T108" s="55" t="s">
        <v>532</v>
      </c>
      <c r="U108" s="50" t="s">
        <v>497</v>
      </c>
      <c r="V108" s="50" t="s">
        <v>497</v>
      </c>
      <c r="W108" s="53" t="s">
        <v>500</v>
      </c>
    </row>
    <row r="109" ht="15.75" customHeight="1">
      <c r="A109" s="50" t="s">
        <v>712</v>
      </c>
      <c r="B109" s="50" t="s">
        <v>198</v>
      </c>
      <c r="C109" s="51" t="s">
        <v>488</v>
      </c>
      <c r="D109" s="52">
        <v>2500.0</v>
      </c>
      <c r="E109" s="50" t="s">
        <v>599</v>
      </c>
      <c r="F109" s="52">
        <v>2500.0</v>
      </c>
      <c r="G109" s="53">
        <v>6.0</v>
      </c>
      <c r="H109" s="52">
        <f t="shared" si="8"/>
        <v>1080</v>
      </c>
      <c r="I109" s="58">
        <v>500.0</v>
      </c>
      <c r="J109" s="52">
        <v>6500.0</v>
      </c>
      <c r="K109" s="50" t="s">
        <v>491</v>
      </c>
      <c r="L109" s="50" t="s">
        <v>492</v>
      </c>
      <c r="M109" s="54">
        <v>1.0</v>
      </c>
      <c r="N109" s="55" t="s">
        <v>678</v>
      </c>
      <c r="O109" s="50" t="s">
        <v>494</v>
      </c>
      <c r="P109" s="50" t="s">
        <v>495</v>
      </c>
      <c r="Q109" s="56" t="s">
        <v>679</v>
      </c>
      <c r="R109" s="50" t="s">
        <v>497</v>
      </c>
      <c r="S109" s="55" t="s">
        <v>634</v>
      </c>
      <c r="T109" s="55" t="s">
        <v>532</v>
      </c>
      <c r="U109" s="50" t="s">
        <v>497</v>
      </c>
      <c r="V109" s="50" t="s">
        <v>497</v>
      </c>
      <c r="W109" s="53" t="s">
        <v>500</v>
      </c>
    </row>
    <row r="110" ht="15.75" customHeight="1">
      <c r="A110" s="50" t="s">
        <v>713</v>
      </c>
      <c r="B110" s="50" t="s">
        <v>200</v>
      </c>
      <c r="C110" s="51" t="s">
        <v>488</v>
      </c>
      <c r="D110" s="52">
        <v>2500.0</v>
      </c>
      <c r="E110" s="50" t="s">
        <v>599</v>
      </c>
      <c r="F110" s="52">
        <v>2500.0</v>
      </c>
      <c r="G110" s="53">
        <v>6.0</v>
      </c>
      <c r="H110" s="52">
        <f t="shared" si="8"/>
        <v>1080</v>
      </c>
      <c r="I110" s="58">
        <v>500.0</v>
      </c>
      <c r="J110" s="52">
        <v>6500.0</v>
      </c>
      <c r="K110" s="50" t="s">
        <v>491</v>
      </c>
      <c r="L110" s="50" t="s">
        <v>492</v>
      </c>
      <c r="M110" s="54">
        <v>1.0</v>
      </c>
      <c r="N110" s="55" t="s">
        <v>678</v>
      </c>
      <c r="O110" s="50" t="s">
        <v>494</v>
      </c>
      <c r="P110" s="50" t="s">
        <v>495</v>
      </c>
      <c r="Q110" s="56" t="s">
        <v>679</v>
      </c>
      <c r="R110" s="50" t="s">
        <v>497</v>
      </c>
      <c r="S110" s="55" t="s">
        <v>634</v>
      </c>
      <c r="T110" s="55" t="s">
        <v>532</v>
      </c>
      <c r="U110" s="50" t="s">
        <v>497</v>
      </c>
      <c r="V110" s="50" t="s">
        <v>497</v>
      </c>
      <c r="W110" s="53" t="s">
        <v>500</v>
      </c>
    </row>
    <row r="111" ht="15.75" customHeight="1">
      <c r="A111" s="50" t="s">
        <v>714</v>
      </c>
      <c r="B111" s="50" t="s">
        <v>202</v>
      </c>
      <c r="C111" s="51" t="s">
        <v>488</v>
      </c>
      <c r="D111" s="52">
        <v>10000.0</v>
      </c>
      <c r="E111" s="50" t="s">
        <v>599</v>
      </c>
      <c r="F111" s="52">
        <v>10000.0</v>
      </c>
      <c r="G111" s="53">
        <v>13.0</v>
      </c>
      <c r="H111" s="52">
        <f t="shared" si="8"/>
        <v>2340</v>
      </c>
      <c r="I111" s="50" t="s">
        <v>715</v>
      </c>
      <c r="J111" s="52">
        <v>6500.0</v>
      </c>
      <c r="K111" s="50" t="s">
        <v>491</v>
      </c>
      <c r="L111" s="50" t="s">
        <v>492</v>
      </c>
      <c r="M111" s="54">
        <v>1.0</v>
      </c>
      <c r="N111" s="55" t="s">
        <v>678</v>
      </c>
      <c r="O111" s="50" t="s">
        <v>494</v>
      </c>
      <c r="P111" s="50" t="s">
        <v>495</v>
      </c>
      <c r="Q111" s="56" t="s">
        <v>679</v>
      </c>
      <c r="R111" s="50" t="s">
        <v>497</v>
      </c>
      <c r="S111" s="55" t="s">
        <v>634</v>
      </c>
      <c r="T111" s="55" t="s">
        <v>532</v>
      </c>
      <c r="U111" s="50" t="s">
        <v>497</v>
      </c>
      <c r="V111" s="50" t="s">
        <v>497</v>
      </c>
      <c r="W111" s="53" t="s">
        <v>500</v>
      </c>
    </row>
    <row r="112" ht="15.75" customHeight="1">
      <c r="A112" s="50" t="s">
        <v>716</v>
      </c>
      <c r="B112" s="50" t="s">
        <v>204</v>
      </c>
      <c r="C112" s="51" t="s">
        <v>488</v>
      </c>
      <c r="D112" s="52">
        <v>2500.0</v>
      </c>
      <c r="E112" s="50" t="s">
        <v>599</v>
      </c>
      <c r="F112" s="52">
        <v>2500.0</v>
      </c>
      <c r="G112" s="53">
        <v>3.0</v>
      </c>
      <c r="H112" s="52">
        <f t="shared" si="8"/>
        <v>540</v>
      </c>
      <c r="I112" s="58">
        <v>600.0</v>
      </c>
      <c r="J112" s="52">
        <v>6500.0</v>
      </c>
      <c r="K112" s="50" t="s">
        <v>491</v>
      </c>
      <c r="L112" s="50" t="s">
        <v>492</v>
      </c>
      <c r="M112" s="54">
        <v>1.0</v>
      </c>
      <c r="N112" s="55" t="s">
        <v>678</v>
      </c>
      <c r="O112" s="50" t="s">
        <v>494</v>
      </c>
      <c r="P112" s="50" t="s">
        <v>495</v>
      </c>
      <c r="Q112" s="56" t="s">
        <v>679</v>
      </c>
      <c r="R112" s="50" t="s">
        <v>497</v>
      </c>
      <c r="S112" s="55" t="s">
        <v>634</v>
      </c>
      <c r="T112" s="55" t="s">
        <v>532</v>
      </c>
      <c r="U112" s="50" t="s">
        <v>497</v>
      </c>
      <c r="V112" s="50" t="s">
        <v>497</v>
      </c>
      <c r="W112" s="53" t="s">
        <v>500</v>
      </c>
    </row>
    <row r="113" ht="15.75" customHeight="1">
      <c r="A113" s="50" t="s">
        <v>717</v>
      </c>
      <c r="B113" s="50" t="s">
        <v>206</v>
      </c>
      <c r="C113" s="51" t="s">
        <v>488</v>
      </c>
      <c r="D113" s="52">
        <v>1000.0</v>
      </c>
      <c r="E113" s="50" t="s">
        <v>599</v>
      </c>
      <c r="F113" s="52">
        <v>1000.0</v>
      </c>
      <c r="G113" s="53">
        <v>7.0</v>
      </c>
      <c r="H113" s="52">
        <f t="shared" si="8"/>
        <v>1260</v>
      </c>
      <c r="I113" s="50" t="s">
        <v>524</v>
      </c>
      <c r="J113" s="52">
        <v>6500.0</v>
      </c>
      <c r="K113" s="50" t="s">
        <v>491</v>
      </c>
      <c r="L113" s="50" t="s">
        <v>492</v>
      </c>
      <c r="M113" s="54">
        <v>1.0</v>
      </c>
      <c r="N113" s="55" t="s">
        <v>678</v>
      </c>
      <c r="O113" s="50" t="s">
        <v>494</v>
      </c>
      <c r="P113" s="50" t="s">
        <v>495</v>
      </c>
      <c r="Q113" s="56" t="s">
        <v>679</v>
      </c>
      <c r="R113" s="50" t="s">
        <v>497</v>
      </c>
      <c r="S113" s="55" t="s">
        <v>634</v>
      </c>
      <c r="T113" s="55" t="s">
        <v>532</v>
      </c>
      <c r="U113" s="50" t="s">
        <v>497</v>
      </c>
      <c r="V113" s="50" t="s">
        <v>497</v>
      </c>
      <c r="W113" s="53" t="s">
        <v>500</v>
      </c>
    </row>
    <row r="114" ht="15.75" customHeight="1">
      <c r="A114" s="50" t="s">
        <v>718</v>
      </c>
      <c r="B114" s="50" t="s">
        <v>208</v>
      </c>
      <c r="C114" s="51" t="s">
        <v>488</v>
      </c>
      <c r="D114" s="52">
        <v>2500.0</v>
      </c>
      <c r="E114" s="50" t="s">
        <v>489</v>
      </c>
      <c r="F114" s="52">
        <v>2500.0</v>
      </c>
      <c r="G114" s="53">
        <v>8.0</v>
      </c>
      <c r="H114" s="52">
        <v>1450.0</v>
      </c>
      <c r="I114" s="50" t="s">
        <v>719</v>
      </c>
      <c r="J114" s="52">
        <v>6500.0</v>
      </c>
      <c r="K114" s="50" t="s">
        <v>514</v>
      </c>
      <c r="L114" s="50" t="s">
        <v>507</v>
      </c>
      <c r="M114" s="54">
        <v>2.0</v>
      </c>
      <c r="N114" s="55" t="s">
        <v>537</v>
      </c>
      <c r="O114" s="50" t="s">
        <v>494</v>
      </c>
      <c r="P114" s="50" t="s">
        <v>495</v>
      </c>
      <c r="Q114" s="56" t="s">
        <v>679</v>
      </c>
      <c r="R114" s="50" t="s">
        <v>497</v>
      </c>
      <c r="S114" s="55" t="s">
        <v>593</v>
      </c>
      <c r="T114" s="55" t="s">
        <v>590</v>
      </c>
      <c r="U114" s="50" t="s">
        <v>497</v>
      </c>
      <c r="V114" s="50" t="s">
        <v>497</v>
      </c>
      <c r="W114" s="53" t="s">
        <v>701</v>
      </c>
    </row>
    <row r="115" ht="15.75" customHeight="1">
      <c r="A115" s="50" t="s">
        <v>720</v>
      </c>
      <c r="B115" s="50" t="s">
        <v>208</v>
      </c>
      <c r="C115" s="51" t="s">
        <v>502</v>
      </c>
      <c r="D115" s="52">
        <v>2500.0</v>
      </c>
      <c r="E115" s="50" t="s">
        <v>375</v>
      </c>
      <c r="F115" s="52">
        <v>2500.0</v>
      </c>
      <c r="G115" s="53">
        <v>7.0</v>
      </c>
      <c r="H115" s="52">
        <f t="shared" ref="H115:H116" si="9">(G115*180)</f>
        <v>1260</v>
      </c>
      <c r="I115" s="50" t="s">
        <v>721</v>
      </c>
      <c r="J115" s="52">
        <v>6500.0</v>
      </c>
      <c r="K115" s="50" t="s">
        <v>514</v>
      </c>
      <c r="L115" s="50" t="s">
        <v>507</v>
      </c>
      <c r="M115" s="54">
        <v>2.0</v>
      </c>
      <c r="N115" s="55" t="s">
        <v>537</v>
      </c>
      <c r="O115" s="50" t="s">
        <v>494</v>
      </c>
      <c r="P115" s="50" t="s">
        <v>495</v>
      </c>
      <c r="Q115" s="56" t="s">
        <v>538</v>
      </c>
      <c r="R115" s="50" t="s">
        <v>497</v>
      </c>
      <c r="S115" s="55" t="s">
        <v>593</v>
      </c>
      <c r="T115" s="55" t="s">
        <v>590</v>
      </c>
      <c r="U115" s="50" t="s">
        <v>497</v>
      </c>
      <c r="V115" s="50" t="s">
        <v>497</v>
      </c>
      <c r="W115" s="53" t="s">
        <v>701</v>
      </c>
    </row>
    <row r="116" ht="15.75" customHeight="1">
      <c r="A116" s="50" t="s">
        <v>722</v>
      </c>
      <c r="B116" s="50" t="s">
        <v>210</v>
      </c>
      <c r="C116" s="51" t="s">
        <v>570</v>
      </c>
      <c r="D116" s="52">
        <v>5000.0</v>
      </c>
      <c r="E116" s="50" t="s">
        <v>596</v>
      </c>
      <c r="F116" s="52">
        <v>5000.0</v>
      </c>
      <c r="G116" s="53">
        <v>8.0</v>
      </c>
      <c r="H116" s="52">
        <f t="shared" si="9"/>
        <v>1440</v>
      </c>
      <c r="I116" s="50" t="s">
        <v>506</v>
      </c>
      <c r="J116" s="55" t="s">
        <v>691</v>
      </c>
      <c r="K116" s="50" t="s">
        <v>491</v>
      </c>
      <c r="L116" s="50" t="s">
        <v>492</v>
      </c>
      <c r="M116" s="54">
        <v>1.0</v>
      </c>
      <c r="N116" s="55" t="s">
        <v>723</v>
      </c>
      <c r="O116" s="50" t="s">
        <v>586</v>
      </c>
      <c r="P116" s="50" t="s">
        <v>495</v>
      </c>
      <c r="Q116" s="56" t="s">
        <v>724</v>
      </c>
      <c r="R116" s="50" t="s">
        <v>497</v>
      </c>
      <c r="S116" s="55" t="s">
        <v>593</v>
      </c>
      <c r="T116" s="55" t="s">
        <v>499</v>
      </c>
      <c r="U116" s="50" t="s">
        <v>497</v>
      </c>
      <c r="V116" s="50" t="s">
        <v>497</v>
      </c>
      <c r="W116" s="53" t="s">
        <v>701</v>
      </c>
    </row>
    <row r="117" ht="15.75" customHeight="1">
      <c r="A117" s="50" t="s">
        <v>725</v>
      </c>
      <c r="B117" s="50" t="s">
        <v>212</v>
      </c>
      <c r="C117" s="51" t="s">
        <v>570</v>
      </c>
      <c r="D117" s="52">
        <v>10000.0</v>
      </c>
      <c r="E117" s="50" t="s">
        <v>596</v>
      </c>
      <c r="F117" s="52">
        <v>10000.0</v>
      </c>
      <c r="G117" s="53">
        <v>10.0</v>
      </c>
      <c r="H117" s="52">
        <v>1451.0</v>
      </c>
      <c r="I117" s="50" t="s">
        <v>506</v>
      </c>
      <c r="J117" s="55" t="s">
        <v>691</v>
      </c>
      <c r="K117" s="50" t="s">
        <v>491</v>
      </c>
      <c r="L117" s="50" t="s">
        <v>492</v>
      </c>
      <c r="M117" s="54">
        <v>1.0</v>
      </c>
      <c r="N117" s="55" t="s">
        <v>723</v>
      </c>
      <c r="O117" s="50" t="s">
        <v>586</v>
      </c>
      <c r="P117" s="50" t="s">
        <v>495</v>
      </c>
      <c r="Q117" s="56" t="s">
        <v>724</v>
      </c>
      <c r="R117" s="50" t="s">
        <v>497</v>
      </c>
      <c r="S117" s="55" t="s">
        <v>593</v>
      </c>
      <c r="T117" s="55" t="s">
        <v>499</v>
      </c>
      <c r="U117" s="50" t="s">
        <v>497</v>
      </c>
      <c r="V117" s="50" t="s">
        <v>497</v>
      </c>
      <c r="W117" s="53" t="s">
        <v>701</v>
      </c>
    </row>
    <row r="118" ht="15.75" customHeight="1">
      <c r="A118" s="50" t="s">
        <v>726</v>
      </c>
      <c r="B118" s="50" t="s">
        <v>217</v>
      </c>
      <c r="C118" s="51" t="s">
        <v>570</v>
      </c>
      <c r="D118" s="52">
        <v>5000.0</v>
      </c>
      <c r="E118" s="50" t="s">
        <v>596</v>
      </c>
      <c r="F118" s="52">
        <v>5000.0</v>
      </c>
      <c r="G118" s="53">
        <v>9.0</v>
      </c>
      <c r="H118" s="52">
        <f t="shared" ref="H118:H119" si="10">(G118*180)</f>
        <v>1620</v>
      </c>
      <c r="I118" s="50" t="s">
        <v>513</v>
      </c>
      <c r="J118" s="55" t="s">
        <v>691</v>
      </c>
      <c r="K118" s="50" t="s">
        <v>491</v>
      </c>
      <c r="L118" s="50" t="s">
        <v>492</v>
      </c>
      <c r="M118" s="54">
        <v>1.0</v>
      </c>
      <c r="N118" s="55" t="s">
        <v>723</v>
      </c>
      <c r="O118" s="50" t="s">
        <v>586</v>
      </c>
      <c r="P118" s="50" t="s">
        <v>495</v>
      </c>
      <c r="Q118" s="56" t="s">
        <v>724</v>
      </c>
      <c r="R118" s="50" t="s">
        <v>497</v>
      </c>
      <c r="S118" s="55" t="s">
        <v>593</v>
      </c>
      <c r="T118" s="55" t="s">
        <v>499</v>
      </c>
      <c r="U118" s="50" t="s">
        <v>497</v>
      </c>
      <c r="V118" s="50" t="s">
        <v>497</v>
      </c>
      <c r="W118" s="53" t="s">
        <v>701</v>
      </c>
    </row>
    <row r="119" ht="15.75" customHeight="1">
      <c r="A119" s="50" t="s">
        <v>727</v>
      </c>
      <c r="B119" s="50" t="s">
        <v>219</v>
      </c>
      <c r="C119" s="51" t="s">
        <v>570</v>
      </c>
      <c r="D119" s="52">
        <v>10000.0</v>
      </c>
      <c r="E119" s="50" t="s">
        <v>596</v>
      </c>
      <c r="F119" s="52">
        <v>10000.0</v>
      </c>
      <c r="G119" s="53">
        <v>9.0</v>
      </c>
      <c r="H119" s="52">
        <f t="shared" si="10"/>
        <v>1620</v>
      </c>
      <c r="I119" s="50" t="s">
        <v>697</v>
      </c>
      <c r="J119" s="55" t="s">
        <v>691</v>
      </c>
      <c r="K119" s="50" t="s">
        <v>491</v>
      </c>
      <c r="L119" s="50" t="s">
        <v>492</v>
      </c>
      <c r="M119" s="54">
        <v>1.0</v>
      </c>
      <c r="N119" s="55" t="s">
        <v>723</v>
      </c>
      <c r="O119" s="50" t="s">
        <v>586</v>
      </c>
      <c r="P119" s="50" t="s">
        <v>495</v>
      </c>
      <c r="Q119" s="56" t="s">
        <v>724</v>
      </c>
      <c r="R119" s="50" t="s">
        <v>497</v>
      </c>
      <c r="S119" s="55" t="s">
        <v>728</v>
      </c>
      <c r="T119" s="55" t="s">
        <v>499</v>
      </c>
      <c r="U119" s="50" t="s">
        <v>497</v>
      </c>
      <c r="V119" s="50" t="s">
        <v>497</v>
      </c>
      <c r="W119" s="53" t="s">
        <v>701</v>
      </c>
    </row>
    <row r="120" ht="15.75" customHeight="1">
      <c r="A120" s="50" t="s">
        <v>729</v>
      </c>
      <c r="B120" s="50" t="s">
        <v>221</v>
      </c>
      <c r="C120" s="51" t="s">
        <v>570</v>
      </c>
      <c r="D120" s="52">
        <v>300.0</v>
      </c>
      <c r="E120" s="50" t="s">
        <v>596</v>
      </c>
      <c r="F120" s="52">
        <v>300.0</v>
      </c>
      <c r="G120" s="53">
        <v>5.0</v>
      </c>
      <c r="H120" s="52">
        <v>1452.0</v>
      </c>
      <c r="I120" s="50" t="s">
        <v>524</v>
      </c>
      <c r="J120" s="55" t="s">
        <v>691</v>
      </c>
      <c r="K120" s="50" t="s">
        <v>491</v>
      </c>
      <c r="L120" s="50" t="s">
        <v>492</v>
      </c>
      <c r="M120" s="54">
        <v>1.0</v>
      </c>
      <c r="N120" s="55" t="s">
        <v>723</v>
      </c>
      <c r="O120" s="50" t="s">
        <v>586</v>
      </c>
      <c r="P120" s="50" t="s">
        <v>495</v>
      </c>
      <c r="Q120" s="56" t="s">
        <v>724</v>
      </c>
      <c r="R120" s="50" t="s">
        <v>497</v>
      </c>
      <c r="S120" s="55" t="s">
        <v>730</v>
      </c>
      <c r="T120" s="55" t="s">
        <v>499</v>
      </c>
      <c r="U120" s="50" t="s">
        <v>497</v>
      </c>
      <c r="V120" s="50" t="s">
        <v>497</v>
      </c>
      <c r="W120" s="53" t="s">
        <v>701</v>
      </c>
    </row>
    <row r="121" ht="15.75" customHeight="1">
      <c r="A121" s="50" t="s">
        <v>731</v>
      </c>
      <c r="B121" s="50" t="s">
        <v>223</v>
      </c>
      <c r="C121" s="51" t="s">
        <v>570</v>
      </c>
      <c r="D121" s="52">
        <v>10000.0</v>
      </c>
      <c r="E121" s="50" t="s">
        <v>596</v>
      </c>
      <c r="F121" s="52">
        <v>10000.0</v>
      </c>
      <c r="G121" s="53">
        <v>10.0</v>
      </c>
      <c r="H121" s="52">
        <f t="shared" ref="H121:H122" si="11">(G121*180)</f>
        <v>1800</v>
      </c>
      <c r="I121" s="50" t="s">
        <v>513</v>
      </c>
      <c r="J121" s="55" t="s">
        <v>691</v>
      </c>
      <c r="K121" s="50" t="s">
        <v>491</v>
      </c>
      <c r="L121" s="50" t="s">
        <v>492</v>
      </c>
      <c r="M121" s="54">
        <v>1.0</v>
      </c>
      <c r="N121" s="55" t="s">
        <v>723</v>
      </c>
      <c r="O121" s="50" t="s">
        <v>586</v>
      </c>
      <c r="P121" s="50" t="s">
        <v>495</v>
      </c>
      <c r="Q121" s="56" t="s">
        <v>724</v>
      </c>
      <c r="R121" s="50" t="s">
        <v>497</v>
      </c>
      <c r="S121" s="55" t="s">
        <v>730</v>
      </c>
      <c r="T121" s="55" t="s">
        <v>499</v>
      </c>
      <c r="U121" s="50" t="s">
        <v>497</v>
      </c>
      <c r="V121" s="50" t="s">
        <v>497</v>
      </c>
      <c r="W121" s="53" t="s">
        <v>701</v>
      </c>
    </row>
    <row r="122" ht="15.75" customHeight="1">
      <c r="A122" s="50" t="s">
        <v>732</v>
      </c>
      <c r="B122" s="50" t="s">
        <v>225</v>
      </c>
      <c r="C122" s="51" t="s">
        <v>570</v>
      </c>
      <c r="D122" s="52">
        <v>10000.0</v>
      </c>
      <c r="E122" s="50" t="s">
        <v>596</v>
      </c>
      <c r="F122" s="52">
        <v>10000.0</v>
      </c>
      <c r="G122" s="53">
        <v>10.0</v>
      </c>
      <c r="H122" s="52">
        <f t="shared" si="11"/>
        <v>1800</v>
      </c>
      <c r="I122" s="50" t="s">
        <v>506</v>
      </c>
      <c r="J122" s="55" t="s">
        <v>691</v>
      </c>
      <c r="K122" s="50" t="s">
        <v>491</v>
      </c>
      <c r="L122" s="50" t="s">
        <v>492</v>
      </c>
      <c r="M122" s="54">
        <v>1.0</v>
      </c>
      <c r="N122" s="55" t="s">
        <v>723</v>
      </c>
      <c r="O122" s="50" t="s">
        <v>586</v>
      </c>
      <c r="P122" s="50" t="s">
        <v>495</v>
      </c>
      <c r="Q122" s="56" t="s">
        <v>724</v>
      </c>
      <c r="R122" s="50" t="s">
        <v>497</v>
      </c>
      <c r="S122" s="55" t="s">
        <v>730</v>
      </c>
      <c r="T122" s="55" t="s">
        <v>499</v>
      </c>
      <c r="U122" s="50" t="s">
        <v>497</v>
      </c>
      <c r="V122" s="50" t="s">
        <v>497</v>
      </c>
      <c r="W122" s="53" t="s">
        <v>701</v>
      </c>
    </row>
    <row r="123" ht="15.75" customHeight="1">
      <c r="A123" s="50" t="s">
        <v>733</v>
      </c>
      <c r="B123" s="50" t="s">
        <v>227</v>
      </c>
      <c r="C123" s="51" t="s">
        <v>570</v>
      </c>
      <c r="D123" s="52">
        <v>10000.0</v>
      </c>
      <c r="E123" s="50" t="s">
        <v>596</v>
      </c>
      <c r="F123" s="52">
        <v>10000.0</v>
      </c>
      <c r="G123" s="53" t="s">
        <v>691</v>
      </c>
      <c r="H123" s="55" t="s">
        <v>691</v>
      </c>
      <c r="I123" s="59"/>
      <c r="J123" s="55" t="s">
        <v>691</v>
      </c>
      <c r="K123" s="50" t="s">
        <v>491</v>
      </c>
      <c r="L123" s="50" t="s">
        <v>492</v>
      </c>
      <c r="M123" s="54">
        <v>1.0</v>
      </c>
      <c r="N123" s="55" t="s">
        <v>723</v>
      </c>
      <c r="O123" s="50" t="s">
        <v>586</v>
      </c>
      <c r="P123" s="50" t="s">
        <v>495</v>
      </c>
      <c r="Q123" s="56" t="s">
        <v>724</v>
      </c>
      <c r="R123" s="50" t="s">
        <v>497</v>
      </c>
      <c r="S123" s="55" t="s">
        <v>730</v>
      </c>
      <c r="T123" s="55" t="s">
        <v>499</v>
      </c>
      <c r="U123" s="50" t="s">
        <v>497</v>
      </c>
      <c r="V123" s="50" t="s">
        <v>497</v>
      </c>
      <c r="W123" s="53" t="s">
        <v>701</v>
      </c>
    </row>
    <row r="124" ht="15.75" customHeight="1">
      <c r="A124" s="50" t="s">
        <v>734</v>
      </c>
      <c r="B124" s="50" t="s">
        <v>229</v>
      </c>
      <c r="C124" s="51" t="s">
        <v>570</v>
      </c>
      <c r="D124" s="52">
        <v>10000.0</v>
      </c>
      <c r="E124" s="50" t="s">
        <v>596</v>
      </c>
      <c r="F124" s="52">
        <v>10000.0</v>
      </c>
      <c r="G124" s="53" t="s">
        <v>691</v>
      </c>
      <c r="H124" s="55" t="s">
        <v>691</v>
      </c>
      <c r="I124" s="59"/>
      <c r="J124" s="55" t="s">
        <v>691</v>
      </c>
      <c r="K124" s="50" t="s">
        <v>491</v>
      </c>
      <c r="L124" s="50" t="s">
        <v>492</v>
      </c>
      <c r="M124" s="54">
        <v>1.0</v>
      </c>
      <c r="N124" s="55" t="s">
        <v>723</v>
      </c>
      <c r="O124" s="50" t="s">
        <v>586</v>
      </c>
      <c r="P124" s="50" t="s">
        <v>495</v>
      </c>
      <c r="Q124" s="56" t="s">
        <v>724</v>
      </c>
      <c r="R124" s="50" t="s">
        <v>497</v>
      </c>
      <c r="S124" s="55" t="s">
        <v>730</v>
      </c>
      <c r="T124" s="55" t="s">
        <v>499</v>
      </c>
      <c r="U124" s="50" t="s">
        <v>497</v>
      </c>
      <c r="V124" s="50" t="s">
        <v>497</v>
      </c>
      <c r="W124" s="53" t="s">
        <v>701</v>
      </c>
    </row>
    <row r="125" ht="15.75" customHeight="1">
      <c r="A125" s="50" t="s">
        <v>735</v>
      </c>
      <c r="B125" s="50" t="s">
        <v>231</v>
      </c>
      <c r="C125" s="51" t="s">
        <v>570</v>
      </c>
      <c r="D125" s="52">
        <v>300.0</v>
      </c>
      <c r="E125" s="50" t="s">
        <v>596</v>
      </c>
      <c r="F125" s="52">
        <v>300.0</v>
      </c>
      <c r="G125" s="53">
        <v>5.0</v>
      </c>
      <c r="H125" s="60"/>
      <c r="I125" s="50" t="s">
        <v>524</v>
      </c>
      <c r="J125" s="55" t="s">
        <v>691</v>
      </c>
      <c r="K125" s="50" t="s">
        <v>491</v>
      </c>
      <c r="L125" s="50" t="s">
        <v>492</v>
      </c>
      <c r="M125" s="54">
        <v>1.0</v>
      </c>
      <c r="N125" s="55" t="s">
        <v>723</v>
      </c>
      <c r="O125" s="50" t="s">
        <v>586</v>
      </c>
      <c r="P125" s="50" t="s">
        <v>495</v>
      </c>
      <c r="Q125" s="56" t="s">
        <v>724</v>
      </c>
      <c r="R125" s="50" t="s">
        <v>497</v>
      </c>
      <c r="S125" s="55" t="s">
        <v>730</v>
      </c>
      <c r="T125" s="55" t="s">
        <v>499</v>
      </c>
      <c r="U125" s="50" t="s">
        <v>497</v>
      </c>
      <c r="V125" s="50" t="s">
        <v>497</v>
      </c>
      <c r="W125" s="53" t="s">
        <v>701</v>
      </c>
    </row>
    <row r="126" ht="15.75" customHeight="1">
      <c r="A126" s="50" t="s">
        <v>736</v>
      </c>
      <c r="B126" s="50" t="s">
        <v>233</v>
      </c>
      <c r="C126" s="50" t="s">
        <v>517</v>
      </c>
      <c r="D126" s="52">
        <v>3750.0</v>
      </c>
      <c r="E126" s="50" t="s">
        <v>535</v>
      </c>
      <c r="F126" s="52">
        <v>3750.0</v>
      </c>
      <c r="G126" s="53">
        <v>12.0</v>
      </c>
      <c r="H126" s="52">
        <v>2100.0</v>
      </c>
      <c r="I126" s="50" t="s">
        <v>490</v>
      </c>
      <c r="J126" s="52">
        <v>6500.0</v>
      </c>
      <c r="K126" s="50" t="s">
        <v>514</v>
      </c>
      <c r="L126" s="50" t="s">
        <v>492</v>
      </c>
      <c r="M126" s="54">
        <v>2.0</v>
      </c>
      <c r="N126" s="55" t="s">
        <v>493</v>
      </c>
      <c r="O126" s="50" t="s">
        <v>494</v>
      </c>
      <c r="P126" s="50" t="s">
        <v>495</v>
      </c>
      <c r="Q126" s="56" t="s">
        <v>538</v>
      </c>
      <c r="R126" s="50" t="s">
        <v>497</v>
      </c>
      <c r="S126" s="55" t="s">
        <v>737</v>
      </c>
      <c r="T126" s="55" t="s">
        <v>616</v>
      </c>
      <c r="U126" s="50" t="s">
        <v>497</v>
      </c>
      <c r="V126" s="50" t="s">
        <v>497</v>
      </c>
      <c r="W126" s="53" t="s">
        <v>701</v>
      </c>
    </row>
    <row r="127" ht="15.75" customHeight="1">
      <c r="A127" s="50" t="s">
        <v>738</v>
      </c>
      <c r="B127" s="50" t="s">
        <v>235</v>
      </c>
      <c r="C127" s="50" t="s">
        <v>502</v>
      </c>
      <c r="D127" s="52">
        <v>3750.0</v>
      </c>
      <c r="E127" s="50" t="s">
        <v>739</v>
      </c>
      <c r="F127" s="52">
        <v>3750.0</v>
      </c>
      <c r="G127" s="53">
        <v>11.0</v>
      </c>
      <c r="H127" s="52">
        <v>2000.0</v>
      </c>
      <c r="I127" s="50" t="s">
        <v>490</v>
      </c>
      <c r="J127" s="52">
        <v>6500.0</v>
      </c>
      <c r="K127" s="50" t="s">
        <v>514</v>
      </c>
      <c r="L127" s="50" t="s">
        <v>492</v>
      </c>
      <c r="M127" s="54">
        <v>2.0</v>
      </c>
      <c r="N127" s="55" t="s">
        <v>493</v>
      </c>
      <c r="O127" s="50" t="s">
        <v>494</v>
      </c>
      <c r="P127" s="50" t="s">
        <v>495</v>
      </c>
      <c r="Q127" s="56" t="s">
        <v>538</v>
      </c>
      <c r="R127" s="50" t="s">
        <v>497</v>
      </c>
      <c r="S127" s="55" t="s">
        <v>737</v>
      </c>
      <c r="T127" s="55" t="s">
        <v>616</v>
      </c>
      <c r="U127" s="50" t="s">
        <v>497</v>
      </c>
      <c r="V127" s="50" t="s">
        <v>497</v>
      </c>
      <c r="W127" s="53" t="s">
        <v>701</v>
      </c>
    </row>
    <row r="128" ht="15.75" customHeight="1">
      <c r="A128" s="50" t="s">
        <v>740</v>
      </c>
      <c r="B128" s="50" t="s">
        <v>240</v>
      </c>
      <c r="C128" s="54" t="s">
        <v>570</v>
      </c>
      <c r="D128" s="52">
        <v>300.0</v>
      </c>
      <c r="E128" s="50" t="s">
        <v>599</v>
      </c>
      <c r="F128" s="52">
        <v>300.0</v>
      </c>
      <c r="G128" s="53">
        <f t="shared" ref="G128:G137" si="12">(H128/180)</f>
        <v>1.5</v>
      </c>
      <c r="H128" s="52">
        <v>270.0</v>
      </c>
      <c r="I128" s="50" t="s">
        <v>524</v>
      </c>
      <c r="J128" s="55" t="s">
        <v>691</v>
      </c>
      <c r="K128" s="50" t="s">
        <v>491</v>
      </c>
      <c r="L128" s="50" t="s">
        <v>492</v>
      </c>
      <c r="M128" s="54">
        <v>1.0</v>
      </c>
      <c r="N128" s="55" t="s">
        <v>723</v>
      </c>
      <c r="O128" s="50" t="s">
        <v>586</v>
      </c>
      <c r="P128" s="50" t="s">
        <v>495</v>
      </c>
      <c r="Q128" s="56" t="s">
        <v>724</v>
      </c>
      <c r="R128" s="50" t="s">
        <v>497</v>
      </c>
      <c r="S128" s="55" t="s">
        <v>539</v>
      </c>
      <c r="T128" s="55" t="s">
        <v>499</v>
      </c>
      <c r="U128" s="50" t="s">
        <v>497</v>
      </c>
      <c r="V128" s="50" t="s">
        <v>497</v>
      </c>
      <c r="W128" s="53" t="s">
        <v>500</v>
      </c>
    </row>
    <row r="129">
      <c r="A129" s="50" t="s">
        <v>741</v>
      </c>
      <c r="B129" s="50" t="s">
        <v>242</v>
      </c>
      <c r="C129" s="54" t="s">
        <v>570</v>
      </c>
      <c r="D129" s="52">
        <v>300.0</v>
      </c>
      <c r="E129" s="50" t="s">
        <v>599</v>
      </c>
      <c r="F129" s="52">
        <v>300.0</v>
      </c>
      <c r="G129" s="53">
        <f t="shared" si="12"/>
        <v>2</v>
      </c>
      <c r="H129" s="52">
        <v>360.0</v>
      </c>
      <c r="I129" s="50" t="s">
        <v>600</v>
      </c>
      <c r="J129" s="55" t="s">
        <v>691</v>
      </c>
      <c r="K129" s="50" t="s">
        <v>491</v>
      </c>
      <c r="L129" s="50" t="s">
        <v>492</v>
      </c>
      <c r="M129" s="54">
        <v>1.0</v>
      </c>
      <c r="N129" s="55" t="s">
        <v>723</v>
      </c>
      <c r="O129" s="50" t="s">
        <v>586</v>
      </c>
      <c r="P129" s="50" t="s">
        <v>495</v>
      </c>
      <c r="Q129" s="56" t="s">
        <v>679</v>
      </c>
      <c r="R129" s="50" t="s">
        <v>497</v>
      </c>
      <c r="S129" s="55" t="s">
        <v>742</v>
      </c>
      <c r="T129" s="55" t="s">
        <v>499</v>
      </c>
      <c r="U129" s="50" t="s">
        <v>497</v>
      </c>
      <c r="V129" s="50" t="s">
        <v>497</v>
      </c>
      <c r="W129" s="53" t="s">
        <v>743</v>
      </c>
    </row>
    <row r="130">
      <c r="A130" s="50" t="s">
        <v>744</v>
      </c>
      <c r="B130" s="50" t="s">
        <v>242</v>
      </c>
      <c r="C130" s="54" t="s">
        <v>570</v>
      </c>
      <c r="D130" s="52">
        <v>500.0</v>
      </c>
      <c r="E130" s="50" t="s">
        <v>599</v>
      </c>
      <c r="F130" s="52">
        <v>500.0</v>
      </c>
      <c r="G130" s="53">
        <f t="shared" si="12"/>
        <v>3</v>
      </c>
      <c r="H130" s="52">
        <v>540.0</v>
      </c>
      <c r="I130" s="50" t="s">
        <v>506</v>
      </c>
      <c r="J130" s="55" t="s">
        <v>691</v>
      </c>
      <c r="K130" s="50" t="s">
        <v>491</v>
      </c>
      <c r="L130" s="50" t="s">
        <v>492</v>
      </c>
      <c r="M130" s="54">
        <v>1.0</v>
      </c>
      <c r="N130" s="55" t="s">
        <v>723</v>
      </c>
      <c r="O130" s="50" t="s">
        <v>586</v>
      </c>
      <c r="P130" s="50" t="s">
        <v>495</v>
      </c>
      <c r="Q130" s="56" t="s">
        <v>679</v>
      </c>
      <c r="R130" s="50" t="s">
        <v>497</v>
      </c>
      <c r="S130" s="55" t="s">
        <v>745</v>
      </c>
      <c r="T130" s="55" t="s">
        <v>553</v>
      </c>
      <c r="U130" s="50" t="s">
        <v>497</v>
      </c>
      <c r="V130" s="50" t="s">
        <v>497</v>
      </c>
      <c r="W130" s="53" t="s">
        <v>743</v>
      </c>
    </row>
    <row r="131">
      <c r="A131" s="50" t="s">
        <v>746</v>
      </c>
      <c r="B131" s="50" t="s">
        <v>244</v>
      </c>
      <c r="C131" s="54" t="s">
        <v>570</v>
      </c>
      <c r="D131" s="52">
        <v>400.0</v>
      </c>
      <c r="E131" s="50" t="s">
        <v>599</v>
      </c>
      <c r="F131" s="52">
        <v>400.0</v>
      </c>
      <c r="G131" s="53">
        <f t="shared" si="12"/>
        <v>3.5</v>
      </c>
      <c r="H131" s="52">
        <v>630.0</v>
      </c>
      <c r="I131" s="50" t="s">
        <v>536</v>
      </c>
      <c r="J131" s="55" t="s">
        <v>691</v>
      </c>
      <c r="K131" s="50" t="s">
        <v>491</v>
      </c>
      <c r="L131" s="50" t="s">
        <v>492</v>
      </c>
      <c r="M131" s="54">
        <v>1.0</v>
      </c>
      <c r="N131" s="55" t="s">
        <v>723</v>
      </c>
      <c r="O131" s="50" t="s">
        <v>586</v>
      </c>
      <c r="P131" s="50" t="s">
        <v>495</v>
      </c>
      <c r="Q131" s="56" t="s">
        <v>679</v>
      </c>
      <c r="R131" s="50" t="s">
        <v>497</v>
      </c>
      <c r="S131" s="55" t="s">
        <v>747</v>
      </c>
      <c r="T131" s="55" t="s">
        <v>601</v>
      </c>
      <c r="U131" s="50" t="s">
        <v>497</v>
      </c>
      <c r="V131" s="50" t="s">
        <v>497</v>
      </c>
      <c r="W131" s="53" t="s">
        <v>743</v>
      </c>
    </row>
    <row r="132">
      <c r="A132" s="50" t="s">
        <v>748</v>
      </c>
      <c r="B132" s="50" t="s">
        <v>246</v>
      </c>
      <c r="C132" s="54" t="s">
        <v>570</v>
      </c>
      <c r="D132" s="52">
        <v>300.0</v>
      </c>
      <c r="E132" s="50" t="s">
        <v>599</v>
      </c>
      <c r="F132" s="52">
        <v>300.0</v>
      </c>
      <c r="G132" s="53">
        <f t="shared" si="12"/>
        <v>2.5</v>
      </c>
      <c r="H132" s="52">
        <v>450.0</v>
      </c>
      <c r="I132" s="50" t="s">
        <v>600</v>
      </c>
      <c r="J132" s="55" t="s">
        <v>691</v>
      </c>
      <c r="K132" s="50" t="s">
        <v>491</v>
      </c>
      <c r="L132" s="50" t="s">
        <v>507</v>
      </c>
      <c r="M132" s="54">
        <v>1.0</v>
      </c>
      <c r="N132" s="55" t="s">
        <v>723</v>
      </c>
      <c r="O132" s="50" t="s">
        <v>586</v>
      </c>
      <c r="P132" s="50" t="s">
        <v>495</v>
      </c>
      <c r="Q132" s="56" t="s">
        <v>679</v>
      </c>
      <c r="R132" s="50" t="s">
        <v>497</v>
      </c>
      <c r="S132" s="55" t="s">
        <v>742</v>
      </c>
      <c r="T132" s="55" t="s">
        <v>553</v>
      </c>
      <c r="U132" s="50" t="s">
        <v>497</v>
      </c>
      <c r="V132" s="50" t="s">
        <v>497</v>
      </c>
      <c r="W132" s="53" t="s">
        <v>500</v>
      </c>
    </row>
    <row r="133" ht="15.75" customHeight="1">
      <c r="A133" s="50" t="s">
        <v>749</v>
      </c>
      <c r="B133" s="50" t="s">
        <v>248</v>
      </c>
      <c r="C133" s="54" t="s">
        <v>570</v>
      </c>
      <c r="D133" s="52">
        <v>500.0</v>
      </c>
      <c r="E133" s="50" t="s">
        <v>599</v>
      </c>
      <c r="F133" s="52">
        <v>500.0</v>
      </c>
      <c r="G133" s="53">
        <f t="shared" si="12"/>
        <v>4.7</v>
      </c>
      <c r="H133" s="52">
        <v>846.0</v>
      </c>
      <c r="I133" s="59"/>
      <c r="J133" s="55" t="s">
        <v>691</v>
      </c>
      <c r="K133" s="50" t="s">
        <v>491</v>
      </c>
      <c r="L133" s="50" t="s">
        <v>492</v>
      </c>
      <c r="M133" s="54">
        <v>1.0</v>
      </c>
      <c r="N133" s="55" t="s">
        <v>723</v>
      </c>
      <c r="O133" s="50" t="s">
        <v>586</v>
      </c>
      <c r="P133" s="50" t="s">
        <v>495</v>
      </c>
      <c r="Q133" s="56" t="s">
        <v>679</v>
      </c>
      <c r="R133" s="50" t="s">
        <v>497</v>
      </c>
      <c r="S133" s="55" t="s">
        <v>648</v>
      </c>
      <c r="T133" s="55" t="s">
        <v>553</v>
      </c>
      <c r="U133" s="50" t="s">
        <v>497</v>
      </c>
      <c r="V133" s="50" t="s">
        <v>497</v>
      </c>
      <c r="W133" s="53" t="s">
        <v>500</v>
      </c>
    </row>
    <row r="134" ht="15.75" customHeight="1">
      <c r="A134" s="50" t="s">
        <v>750</v>
      </c>
      <c r="B134" s="50" t="s">
        <v>250</v>
      </c>
      <c r="C134" s="54" t="s">
        <v>570</v>
      </c>
      <c r="D134" s="52">
        <v>1000.0</v>
      </c>
      <c r="E134" s="50" t="s">
        <v>599</v>
      </c>
      <c r="F134" s="52">
        <v>1000.0</v>
      </c>
      <c r="G134" s="53">
        <f t="shared" si="12"/>
        <v>7</v>
      </c>
      <c r="H134" s="52">
        <v>1260.0</v>
      </c>
      <c r="I134" s="50" t="s">
        <v>490</v>
      </c>
      <c r="J134" s="55" t="s">
        <v>691</v>
      </c>
      <c r="K134" s="50" t="s">
        <v>491</v>
      </c>
      <c r="L134" s="50" t="s">
        <v>507</v>
      </c>
      <c r="M134" s="54">
        <v>1.0</v>
      </c>
      <c r="N134" s="55" t="s">
        <v>723</v>
      </c>
      <c r="O134" s="50" t="s">
        <v>586</v>
      </c>
      <c r="P134" s="50" t="s">
        <v>495</v>
      </c>
      <c r="Q134" s="56" t="s">
        <v>679</v>
      </c>
      <c r="R134" s="50" t="s">
        <v>497</v>
      </c>
      <c r="S134" s="55" t="s">
        <v>751</v>
      </c>
      <c r="T134" s="55" t="s">
        <v>499</v>
      </c>
      <c r="U134" s="50" t="s">
        <v>497</v>
      </c>
      <c r="V134" s="50" t="s">
        <v>497</v>
      </c>
      <c r="W134" s="53" t="s">
        <v>500</v>
      </c>
    </row>
    <row r="135" ht="15.75" customHeight="1">
      <c r="A135" s="50" t="s">
        <v>752</v>
      </c>
      <c r="B135" s="50" t="s">
        <v>250</v>
      </c>
      <c r="C135" s="54" t="s">
        <v>570</v>
      </c>
      <c r="D135" s="52">
        <v>1000.0</v>
      </c>
      <c r="E135" s="50" t="s">
        <v>599</v>
      </c>
      <c r="F135" s="52">
        <v>1000.0</v>
      </c>
      <c r="G135" s="53">
        <f t="shared" si="12"/>
        <v>7</v>
      </c>
      <c r="H135" s="52">
        <v>1260.0</v>
      </c>
      <c r="I135" s="50" t="s">
        <v>490</v>
      </c>
      <c r="J135" s="55" t="s">
        <v>691</v>
      </c>
      <c r="K135" s="50" t="s">
        <v>491</v>
      </c>
      <c r="L135" s="50" t="s">
        <v>507</v>
      </c>
      <c r="M135" s="54">
        <v>1.0</v>
      </c>
      <c r="N135" s="55" t="s">
        <v>723</v>
      </c>
      <c r="O135" s="50" t="s">
        <v>586</v>
      </c>
      <c r="P135" s="50" t="s">
        <v>495</v>
      </c>
      <c r="Q135" s="56" t="s">
        <v>679</v>
      </c>
      <c r="R135" s="50" t="s">
        <v>497</v>
      </c>
      <c r="S135" s="55" t="s">
        <v>753</v>
      </c>
      <c r="T135" s="55" t="s">
        <v>499</v>
      </c>
      <c r="U135" s="50" t="s">
        <v>497</v>
      </c>
      <c r="V135" s="50" t="s">
        <v>497</v>
      </c>
      <c r="W135" s="53" t="s">
        <v>500</v>
      </c>
    </row>
    <row r="136" ht="15.75" customHeight="1">
      <c r="A136" s="50" t="s">
        <v>754</v>
      </c>
      <c r="B136" s="50" t="s">
        <v>252</v>
      </c>
      <c r="C136" s="54" t="s">
        <v>488</v>
      </c>
      <c r="D136" s="52">
        <v>700.0</v>
      </c>
      <c r="E136" s="50" t="s">
        <v>755</v>
      </c>
      <c r="F136" s="52">
        <v>700.0</v>
      </c>
      <c r="G136" s="53">
        <f t="shared" si="12"/>
        <v>4</v>
      </c>
      <c r="H136" s="52">
        <v>720.0</v>
      </c>
      <c r="I136" s="50" t="s">
        <v>506</v>
      </c>
      <c r="J136" s="55" t="s">
        <v>691</v>
      </c>
      <c r="K136" s="50" t="s">
        <v>491</v>
      </c>
      <c r="L136" s="50" t="s">
        <v>492</v>
      </c>
      <c r="M136" s="54">
        <v>1.0</v>
      </c>
      <c r="N136" s="55" t="s">
        <v>723</v>
      </c>
      <c r="O136" s="50" t="s">
        <v>586</v>
      </c>
      <c r="P136" s="50" t="s">
        <v>756</v>
      </c>
      <c r="Q136" s="56" t="s">
        <v>757</v>
      </c>
      <c r="R136" s="50" t="s">
        <v>497</v>
      </c>
      <c r="S136" s="55" t="s">
        <v>758</v>
      </c>
      <c r="T136" s="55" t="s">
        <v>590</v>
      </c>
      <c r="U136" s="50" t="s">
        <v>491</v>
      </c>
      <c r="V136" s="50" t="s">
        <v>491</v>
      </c>
      <c r="W136" s="53" t="s">
        <v>594</v>
      </c>
    </row>
    <row r="137" ht="15.75" customHeight="1">
      <c r="A137" s="50" t="s">
        <v>759</v>
      </c>
      <c r="B137" s="50" t="s">
        <v>254</v>
      </c>
      <c r="C137" s="54" t="s">
        <v>570</v>
      </c>
      <c r="D137" s="52">
        <v>2400.0</v>
      </c>
      <c r="E137" s="50" t="s">
        <v>599</v>
      </c>
      <c r="F137" s="52">
        <v>2400.0</v>
      </c>
      <c r="G137" s="53">
        <f t="shared" si="12"/>
        <v>5</v>
      </c>
      <c r="H137" s="52">
        <v>900.0</v>
      </c>
      <c r="I137" s="50" t="s">
        <v>513</v>
      </c>
      <c r="J137" s="55" t="s">
        <v>691</v>
      </c>
      <c r="K137" s="50" t="s">
        <v>491</v>
      </c>
      <c r="L137" s="50" t="s">
        <v>492</v>
      </c>
      <c r="M137" s="50">
        <v>2.0</v>
      </c>
      <c r="N137" s="55" t="s">
        <v>723</v>
      </c>
      <c r="O137" s="50" t="s">
        <v>586</v>
      </c>
      <c r="P137" s="50" t="s">
        <v>495</v>
      </c>
      <c r="Q137" s="56" t="s">
        <v>724</v>
      </c>
      <c r="R137" s="50" t="s">
        <v>497</v>
      </c>
      <c r="S137" s="55" t="s">
        <v>760</v>
      </c>
      <c r="T137" s="55" t="s">
        <v>499</v>
      </c>
      <c r="U137" s="50" t="s">
        <v>497</v>
      </c>
      <c r="V137" s="50" t="s">
        <v>497</v>
      </c>
      <c r="W137" s="53" t="s">
        <v>701</v>
      </c>
    </row>
    <row r="138" ht="15.75" customHeight="1">
      <c r="A138" s="50" t="s">
        <v>761</v>
      </c>
      <c r="B138" s="50" t="s">
        <v>254</v>
      </c>
      <c r="C138" s="54" t="s">
        <v>570</v>
      </c>
      <c r="D138" s="52">
        <v>2400.0</v>
      </c>
      <c r="E138" s="50" t="s">
        <v>599</v>
      </c>
      <c r="F138" s="52">
        <v>2400.0</v>
      </c>
      <c r="G138" s="61"/>
      <c r="H138" s="52">
        <v>900.0</v>
      </c>
      <c r="I138" s="50" t="s">
        <v>513</v>
      </c>
      <c r="J138" s="55" t="s">
        <v>691</v>
      </c>
      <c r="K138" s="50" t="s">
        <v>491</v>
      </c>
      <c r="L138" s="50" t="s">
        <v>492</v>
      </c>
      <c r="M138" s="50">
        <v>2.0</v>
      </c>
      <c r="N138" s="55" t="s">
        <v>723</v>
      </c>
      <c r="O138" s="50" t="s">
        <v>586</v>
      </c>
      <c r="P138" s="50" t="s">
        <v>495</v>
      </c>
      <c r="Q138" s="56" t="s">
        <v>724</v>
      </c>
      <c r="R138" s="50" t="s">
        <v>497</v>
      </c>
      <c r="S138" s="55" t="s">
        <v>760</v>
      </c>
      <c r="T138" s="55" t="s">
        <v>499</v>
      </c>
      <c r="U138" s="50" t="s">
        <v>497</v>
      </c>
      <c r="V138" s="50" t="s">
        <v>497</v>
      </c>
      <c r="W138" s="53" t="s">
        <v>701</v>
      </c>
    </row>
    <row r="139" ht="15.75" customHeight="1">
      <c r="A139" s="62" t="s">
        <v>762</v>
      </c>
      <c r="B139" s="62" t="s">
        <v>256</v>
      </c>
      <c r="C139" s="62" t="s">
        <v>488</v>
      </c>
      <c r="D139" s="63">
        <v>7500.0</v>
      </c>
      <c r="E139" s="62" t="s">
        <v>535</v>
      </c>
      <c r="F139" s="63">
        <v>7500.0</v>
      </c>
      <c r="G139" s="64">
        <v>19.0</v>
      </c>
      <c r="H139" s="63">
        <v>3500.0</v>
      </c>
      <c r="I139" s="62" t="s">
        <v>763</v>
      </c>
      <c r="J139" s="63">
        <v>6500.0</v>
      </c>
      <c r="K139" s="62" t="s">
        <v>514</v>
      </c>
      <c r="L139" s="62" t="s">
        <v>507</v>
      </c>
      <c r="M139" s="62">
        <v>2.0</v>
      </c>
      <c r="N139" s="65" t="s">
        <v>493</v>
      </c>
      <c r="O139" s="62" t="s">
        <v>494</v>
      </c>
      <c r="P139" s="62" t="s">
        <v>495</v>
      </c>
      <c r="Q139" s="66" t="s">
        <v>538</v>
      </c>
      <c r="R139" s="62" t="s">
        <v>497</v>
      </c>
      <c r="S139" s="65" t="s">
        <v>764</v>
      </c>
      <c r="T139" s="65" t="s">
        <v>601</v>
      </c>
      <c r="U139" s="62" t="s">
        <v>497</v>
      </c>
      <c r="V139" s="62" t="s">
        <v>497</v>
      </c>
      <c r="W139" s="64" t="s">
        <v>701</v>
      </c>
    </row>
    <row r="140" ht="15.75" customHeight="1">
      <c r="A140" s="62" t="s">
        <v>765</v>
      </c>
      <c r="B140" s="62" t="s">
        <v>256</v>
      </c>
      <c r="C140" s="62" t="s">
        <v>502</v>
      </c>
      <c r="D140" s="63">
        <v>7500.0</v>
      </c>
      <c r="E140" s="62" t="s">
        <v>739</v>
      </c>
      <c r="F140" s="63">
        <v>7500.0</v>
      </c>
      <c r="G140" s="64">
        <v>19.0</v>
      </c>
      <c r="H140" s="63">
        <v>3500.0</v>
      </c>
      <c r="I140" s="62" t="s">
        <v>763</v>
      </c>
      <c r="J140" s="63">
        <v>6500.0</v>
      </c>
      <c r="K140" s="62" t="s">
        <v>514</v>
      </c>
      <c r="L140" s="62" t="s">
        <v>507</v>
      </c>
      <c r="M140" s="62">
        <v>2.0</v>
      </c>
      <c r="N140" s="65" t="s">
        <v>493</v>
      </c>
      <c r="O140" s="62" t="s">
        <v>494</v>
      </c>
      <c r="P140" s="62" t="s">
        <v>495</v>
      </c>
      <c r="Q140" s="66" t="s">
        <v>538</v>
      </c>
      <c r="R140" s="62" t="s">
        <v>497</v>
      </c>
      <c r="S140" s="65" t="s">
        <v>764</v>
      </c>
      <c r="T140" s="65" t="s">
        <v>601</v>
      </c>
      <c r="U140" s="62" t="s">
        <v>497</v>
      </c>
      <c r="V140" s="62" t="s">
        <v>497</v>
      </c>
      <c r="W140" s="64" t="s">
        <v>701</v>
      </c>
    </row>
    <row r="141" ht="15.75" customHeight="1">
      <c r="A141" s="62" t="s">
        <v>766</v>
      </c>
      <c r="B141" s="62" t="s">
        <v>261</v>
      </c>
      <c r="C141" s="62" t="s">
        <v>488</v>
      </c>
      <c r="D141" s="63">
        <v>8432.0</v>
      </c>
      <c r="E141" s="62" t="s">
        <v>518</v>
      </c>
      <c r="F141" s="63">
        <v>8432.0</v>
      </c>
      <c r="G141" s="64">
        <v>30.0</v>
      </c>
      <c r="H141" s="63">
        <v>5500.0</v>
      </c>
      <c r="I141" s="62" t="s">
        <v>767</v>
      </c>
      <c r="J141" s="63">
        <v>6500.0</v>
      </c>
      <c r="K141" s="62" t="s">
        <v>514</v>
      </c>
      <c r="L141" s="62" t="s">
        <v>492</v>
      </c>
      <c r="M141" s="62">
        <v>2.0</v>
      </c>
      <c r="N141" s="65" t="s">
        <v>493</v>
      </c>
      <c r="O141" s="62" t="s">
        <v>494</v>
      </c>
      <c r="P141" s="62" t="s">
        <v>495</v>
      </c>
      <c r="Q141" s="66" t="s">
        <v>556</v>
      </c>
      <c r="R141" s="62" t="s">
        <v>497</v>
      </c>
      <c r="S141" s="65" t="s">
        <v>768</v>
      </c>
      <c r="T141" s="65" t="s">
        <v>601</v>
      </c>
      <c r="U141" s="62" t="s">
        <v>497</v>
      </c>
      <c r="V141" s="62" t="s">
        <v>497</v>
      </c>
      <c r="W141" s="64" t="s">
        <v>701</v>
      </c>
    </row>
    <row r="142" ht="15.75" customHeight="1">
      <c r="A142" s="62" t="s">
        <v>769</v>
      </c>
      <c r="B142" s="62" t="s">
        <v>261</v>
      </c>
      <c r="C142" s="62" t="s">
        <v>502</v>
      </c>
      <c r="D142" s="63">
        <v>8432.0</v>
      </c>
      <c r="E142" s="62" t="s">
        <v>739</v>
      </c>
      <c r="F142" s="63">
        <v>8432.0</v>
      </c>
      <c r="G142" s="64">
        <v>26.0</v>
      </c>
      <c r="H142" s="63">
        <v>4800.0</v>
      </c>
      <c r="I142" s="62" t="s">
        <v>767</v>
      </c>
      <c r="J142" s="63">
        <v>6500.0</v>
      </c>
      <c r="K142" s="62" t="s">
        <v>514</v>
      </c>
      <c r="L142" s="62" t="s">
        <v>492</v>
      </c>
      <c r="M142" s="62">
        <v>2.0</v>
      </c>
      <c r="N142" s="65" t="s">
        <v>493</v>
      </c>
      <c r="O142" s="62" t="s">
        <v>494</v>
      </c>
      <c r="P142" s="62" t="s">
        <v>495</v>
      </c>
      <c r="Q142" s="66" t="s">
        <v>556</v>
      </c>
      <c r="R142" s="62" t="s">
        <v>497</v>
      </c>
      <c r="S142" s="65" t="s">
        <v>768</v>
      </c>
      <c r="T142" s="65" t="s">
        <v>601</v>
      </c>
      <c r="U142" s="62" t="s">
        <v>497</v>
      </c>
      <c r="V142" s="62" t="s">
        <v>497</v>
      </c>
      <c r="W142" s="64" t="s">
        <v>701</v>
      </c>
    </row>
    <row r="143" ht="15.75" customHeight="1">
      <c r="A143" s="62" t="s">
        <v>770</v>
      </c>
      <c r="B143" s="62" t="s">
        <v>263</v>
      </c>
      <c r="C143" s="62" t="s">
        <v>488</v>
      </c>
      <c r="D143" s="63">
        <v>2500.0</v>
      </c>
      <c r="E143" s="62" t="s">
        <v>489</v>
      </c>
      <c r="F143" s="63">
        <v>2500.0</v>
      </c>
      <c r="G143" s="64">
        <v>9.0</v>
      </c>
      <c r="H143" s="63">
        <v>1650.0</v>
      </c>
      <c r="I143" s="62" t="s">
        <v>700</v>
      </c>
      <c r="J143" s="63">
        <v>6500.0</v>
      </c>
      <c r="K143" s="62" t="s">
        <v>514</v>
      </c>
      <c r="L143" s="62" t="s">
        <v>507</v>
      </c>
      <c r="M143" s="62">
        <v>2.0</v>
      </c>
      <c r="N143" s="65" t="s">
        <v>537</v>
      </c>
      <c r="O143" s="62" t="s">
        <v>494</v>
      </c>
      <c r="P143" s="62" t="s">
        <v>495</v>
      </c>
      <c r="Q143" s="66" t="s">
        <v>556</v>
      </c>
      <c r="R143" s="62" t="s">
        <v>497</v>
      </c>
      <c r="S143" s="65" t="s">
        <v>593</v>
      </c>
      <c r="T143" s="65" t="s">
        <v>590</v>
      </c>
      <c r="U143" s="62" t="s">
        <v>497</v>
      </c>
      <c r="V143" s="62" t="s">
        <v>497</v>
      </c>
      <c r="W143" s="64" t="s">
        <v>701</v>
      </c>
    </row>
    <row r="144" ht="15.75" customHeight="1">
      <c r="A144" s="62" t="s">
        <v>771</v>
      </c>
      <c r="B144" s="62" t="s">
        <v>263</v>
      </c>
      <c r="C144" s="62" t="s">
        <v>502</v>
      </c>
      <c r="D144" s="63">
        <v>2500.0</v>
      </c>
      <c r="E144" s="62" t="s">
        <v>375</v>
      </c>
      <c r="F144" s="63">
        <v>2500.0</v>
      </c>
      <c r="G144" s="64">
        <v>5.0</v>
      </c>
      <c r="H144" s="63">
        <v>960.0</v>
      </c>
      <c r="I144" s="62" t="s">
        <v>772</v>
      </c>
      <c r="J144" s="67">
        <v>6500.0</v>
      </c>
      <c r="K144" s="62" t="s">
        <v>514</v>
      </c>
      <c r="L144" s="62" t="s">
        <v>507</v>
      </c>
      <c r="M144" s="62">
        <v>2.0</v>
      </c>
      <c r="N144" s="65" t="s">
        <v>537</v>
      </c>
      <c r="O144" s="62" t="s">
        <v>494</v>
      </c>
      <c r="P144" s="62" t="s">
        <v>495</v>
      </c>
      <c r="Q144" s="66" t="s">
        <v>556</v>
      </c>
      <c r="R144" s="62" t="s">
        <v>497</v>
      </c>
      <c r="S144" s="65" t="s">
        <v>593</v>
      </c>
      <c r="T144" s="65" t="s">
        <v>590</v>
      </c>
      <c r="U144" s="62" t="s">
        <v>497</v>
      </c>
      <c r="V144" s="62" t="s">
        <v>497</v>
      </c>
      <c r="W144" s="64" t="s">
        <v>701</v>
      </c>
    </row>
    <row r="145" ht="15.75" customHeight="1">
      <c r="A145" s="62" t="s">
        <v>773</v>
      </c>
      <c r="B145" s="62" t="s">
        <v>265</v>
      </c>
      <c r="C145" s="62" t="s">
        <v>517</v>
      </c>
      <c r="D145" s="63">
        <v>5000.0</v>
      </c>
      <c r="E145" s="62" t="s">
        <v>535</v>
      </c>
      <c r="F145" s="63">
        <v>5000.0</v>
      </c>
      <c r="G145" s="68">
        <f t="shared" ref="G145:G148" si="13">(H145/180)</f>
        <v>18.88888889</v>
      </c>
      <c r="H145" s="63">
        <v>3400.0</v>
      </c>
      <c r="I145" s="62" t="s">
        <v>490</v>
      </c>
      <c r="J145" s="63">
        <v>6500.0</v>
      </c>
      <c r="K145" s="62" t="s">
        <v>514</v>
      </c>
      <c r="L145" s="62" t="s">
        <v>492</v>
      </c>
      <c r="M145" s="62">
        <v>2.0</v>
      </c>
      <c r="N145" s="65" t="s">
        <v>493</v>
      </c>
      <c r="O145" s="62" t="s">
        <v>494</v>
      </c>
      <c r="P145" s="62" t="s">
        <v>495</v>
      </c>
      <c r="Q145" s="66" t="s">
        <v>774</v>
      </c>
      <c r="R145" s="62" t="s">
        <v>497</v>
      </c>
      <c r="S145" s="65" t="s">
        <v>775</v>
      </c>
      <c r="T145" s="65" t="s">
        <v>616</v>
      </c>
      <c r="U145" s="62" t="s">
        <v>497</v>
      </c>
      <c r="V145" s="62" t="s">
        <v>497</v>
      </c>
      <c r="W145" s="64" t="s">
        <v>776</v>
      </c>
    </row>
    <row r="146" ht="15.75" customHeight="1">
      <c r="A146" s="62" t="s">
        <v>777</v>
      </c>
      <c r="B146" s="62" t="s">
        <v>265</v>
      </c>
      <c r="C146" s="62" t="s">
        <v>502</v>
      </c>
      <c r="D146" s="63">
        <v>5000.0</v>
      </c>
      <c r="E146" s="62" t="s">
        <v>739</v>
      </c>
      <c r="F146" s="63">
        <v>5000.0</v>
      </c>
      <c r="G146" s="68">
        <f t="shared" si="13"/>
        <v>18.33333333</v>
      </c>
      <c r="H146" s="63">
        <v>3300.0</v>
      </c>
      <c r="I146" s="62" t="s">
        <v>490</v>
      </c>
      <c r="J146" s="63">
        <v>6600.0</v>
      </c>
      <c r="K146" s="62" t="s">
        <v>514</v>
      </c>
      <c r="L146" s="62" t="s">
        <v>492</v>
      </c>
      <c r="M146" s="62">
        <v>2.0</v>
      </c>
      <c r="N146" s="65" t="s">
        <v>493</v>
      </c>
      <c r="O146" s="62" t="s">
        <v>494</v>
      </c>
      <c r="P146" s="62" t="s">
        <v>495</v>
      </c>
      <c r="Q146" s="66" t="s">
        <v>556</v>
      </c>
      <c r="R146" s="62" t="s">
        <v>497</v>
      </c>
      <c r="S146" s="65" t="s">
        <v>775</v>
      </c>
      <c r="T146" s="65" t="s">
        <v>616</v>
      </c>
      <c r="U146" s="62" t="s">
        <v>497</v>
      </c>
      <c r="V146" s="62" t="s">
        <v>497</v>
      </c>
      <c r="W146" s="64" t="s">
        <v>776</v>
      </c>
    </row>
    <row r="147" ht="15.75" customHeight="1">
      <c r="A147" s="62" t="s">
        <v>778</v>
      </c>
      <c r="B147" s="62" t="s">
        <v>267</v>
      </c>
      <c r="C147" s="62" t="s">
        <v>517</v>
      </c>
      <c r="D147" s="63">
        <v>3750.0</v>
      </c>
      <c r="E147" s="62" t="s">
        <v>535</v>
      </c>
      <c r="F147" s="63">
        <v>3750.0</v>
      </c>
      <c r="G147" s="68">
        <f t="shared" si="13"/>
        <v>7.222222222</v>
      </c>
      <c r="H147" s="63">
        <v>1300.0</v>
      </c>
      <c r="I147" s="62" t="s">
        <v>697</v>
      </c>
      <c r="J147" s="63">
        <v>6500.0</v>
      </c>
      <c r="K147" s="62" t="s">
        <v>514</v>
      </c>
      <c r="L147" s="62" t="s">
        <v>492</v>
      </c>
      <c r="M147" s="62">
        <v>2.0</v>
      </c>
      <c r="N147" s="65" t="s">
        <v>493</v>
      </c>
      <c r="O147" s="62" t="s">
        <v>494</v>
      </c>
      <c r="P147" s="62" t="s">
        <v>495</v>
      </c>
      <c r="Q147" s="66" t="s">
        <v>774</v>
      </c>
      <c r="R147" s="62" t="s">
        <v>497</v>
      </c>
      <c r="S147" s="65" t="s">
        <v>775</v>
      </c>
      <c r="T147" s="65" t="s">
        <v>616</v>
      </c>
      <c r="U147" s="62" t="s">
        <v>497</v>
      </c>
      <c r="V147" s="62" t="s">
        <v>497</v>
      </c>
      <c r="W147" s="64" t="s">
        <v>776</v>
      </c>
    </row>
    <row r="148" ht="15.75" customHeight="1">
      <c r="A148" s="62" t="s">
        <v>779</v>
      </c>
      <c r="B148" s="62" t="s">
        <v>267</v>
      </c>
      <c r="C148" s="62" t="s">
        <v>502</v>
      </c>
      <c r="D148" s="63">
        <v>3750.0</v>
      </c>
      <c r="E148" s="62" t="s">
        <v>739</v>
      </c>
      <c r="F148" s="63">
        <v>3750.0</v>
      </c>
      <c r="G148" s="68">
        <f t="shared" si="13"/>
        <v>7.222222222</v>
      </c>
      <c r="H148" s="63">
        <v>1300.0</v>
      </c>
      <c r="I148" s="62" t="s">
        <v>697</v>
      </c>
      <c r="J148" s="63">
        <v>6600.0</v>
      </c>
      <c r="K148" s="62" t="s">
        <v>514</v>
      </c>
      <c r="L148" s="62" t="s">
        <v>492</v>
      </c>
      <c r="M148" s="62">
        <v>2.0</v>
      </c>
      <c r="N148" s="65" t="s">
        <v>493</v>
      </c>
      <c r="O148" s="62" t="s">
        <v>494</v>
      </c>
      <c r="P148" s="62" t="s">
        <v>495</v>
      </c>
      <c r="Q148" s="66" t="s">
        <v>556</v>
      </c>
      <c r="R148" s="62" t="s">
        <v>497</v>
      </c>
      <c r="S148" s="65" t="s">
        <v>775</v>
      </c>
      <c r="T148" s="65" t="s">
        <v>616</v>
      </c>
      <c r="U148" s="62" t="s">
        <v>497</v>
      </c>
      <c r="V148" s="62" t="s">
        <v>497</v>
      </c>
      <c r="W148" s="64" t="s">
        <v>776</v>
      </c>
    </row>
    <row r="149" ht="15.75" customHeight="1">
      <c r="A149" s="62" t="s">
        <v>780</v>
      </c>
      <c r="B149" s="69" t="s">
        <v>269</v>
      </c>
      <c r="C149" s="69" t="s">
        <v>570</v>
      </c>
      <c r="D149" s="70">
        <v>1300.0</v>
      </c>
      <c r="E149" s="69" t="s">
        <v>535</v>
      </c>
      <c r="F149" s="70">
        <v>1300.0</v>
      </c>
      <c r="G149" s="71">
        <v>4.0</v>
      </c>
      <c r="H149" s="70">
        <v>800.0</v>
      </c>
      <c r="I149" s="69" t="s">
        <v>781</v>
      </c>
      <c r="J149" s="70">
        <v>6500.0</v>
      </c>
      <c r="K149" s="69" t="s">
        <v>514</v>
      </c>
      <c r="L149" s="69" t="s">
        <v>507</v>
      </c>
      <c r="M149" s="62">
        <v>2.0</v>
      </c>
      <c r="N149" s="72" t="s">
        <v>493</v>
      </c>
      <c r="O149" s="69" t="s">
        <v>494</v>
      </c>
      <c r="P149" s="69" t="s">
        <v>495</v>
      </c>
      <c r="Q149" s="72" t="s">
        <v>556</v>
      </c>
      <c r="R149" s="69" t="s">
        <v>497</v>
      </c>
      <c r="S149" s="72" t="s">
        <v>782</v>
      </c>
      <c r="T149" s="72" t="s">
        <v>590</v>
      </c>
      <c r="U149" s="69" t="s">
        <v>497</v>
      </c>
      <c r="V149" s="69" t="s">
        <v>497</v>
      </c>
      <c r="W149" s="73" t="s">
        <v>701</v>
      </c>
      <c r="X149" s="74"/>
      <c r="Y149" s="74"/>
      <c r="Z149" s="74"/>
      <c r="AA149" s="74"/>
      <c r="AB149" s="74"/>
      <c r="AC149" s="74"/>
    </row>
    <row r="150" ht="15.75" customHeight="1">
      <c r="A150" s="62" t="s">
        <v>783</v>
      </c>
      <c r="B150" s="69" t="s">
        <v>269</v>
      </c>
      <c r="C150" s="69" t="s">
        <v>502</v>
      </c>
      <c r="D150" s="70">
        <v>1300.0</v>
      </c>
      <c r="E150" s="69" t="s">
        <v>739</v>
      </c>
      <c r="F150" s="70">
        <v>1300.0</v>
      </c>
      <c r="G150" s="71">
        <v>4.0</v>
      </c>
      <c r="H150" s="70">
        <v>800.0</v>
      </c>
      <c r="I150" s="69" t="s">
        <v>781</v>
      </c>
      <c r="J150" s="70">
        <v>6500.0</v>
      </c>
      <c r="K150" s="69" t="s">
        <v>514</v>
      </c>
      <c r="L150" s="69" t="s">
        <v>507</v>
      </c>
      <c r="M150" s="62">
        <v>2.0</v>
      </c>
      <c r="N150" s="72" t="s">
        <v>493</v>
      </c>
      <c r="O150" s="69" t="s">
        <v>494</v>
      </c>
      <c r="P150" s="69" t="s">
        <v>495</v>
      </c>
      <c r="Q150" s="72" t="s">
        <v>556</v>
      </c>
      <c r="R150" s="69" t="s">
        <v>497</v>
      </c>
      <c r="S150" s="72" t="s">
        <v>782</v>
      </c>
      <c r="T150" s="72" t="s">
        <v>590</v>
      </c>
      <c r="U150" s="69" t="s">
        <v>497</v>
      </c>
      <c r="V150" s="69" t="s">
        <v>497</v>
      </c>
      <c r="W150" s="73" t="s">
        <v>701</v>
      </c>
      <c r="X150" s="74"/>
      <c r="Y150" s="74"/>
      <c r="Z150" s="74"/>
      <c r="AA150" s="74"/>
      <c r="AB150" s="74"/>
      <c r="AC150" s="74"/>
    </row>
    <row r="151" ht="15.75" customHeight="1">
      <c r="A151" s="62" t="s">
        <v>784</v>
      </c>
      <c r="B151" s="75" t="s">
        <v>271</v>
      </c>
      <c r="C151" s="69" t="s">
        <v>570</v>
      </c>
      <c r="D151" s="67">
        <v>1250.0</v>
      </c>
      <c r="E151" s="69" t="s">
        <v>535</v>
      </c>
      <c r="F151" s="67">
        <v>1250.0</v>
      </c>
      <c r="G151" s="71">
        <v>4.0</v>
      </c>
      <c r="H151" s="70">
        <v>800.0</v>
      </c>
      <c r="I151" s="69" t="s">
        <v>781</v>
      </c>
      <c r="J151" s="70">
        <v>6500.0</v>
      </c>
      <c r="K151" s="69" t="s">
        <v>514</v>
      </c>
      <c r="L151" s="69" t="s">
        <v>507</v>
      </c>
      <c r="M151" s="62">
        <v>2.0</v>
      </c>
      <c r="N151" s="72" t="s">
        <v>493</v>
      </c>
      <c r="O151" s="69" t="s">
        <v>494</v>
      </c>
      <c r="P151" s="69" t="s">
        <v>495</v>
      </c>
      <c r="Q151" s="72" t="s">
        <v>556</v>
      </c>
      <c r="R151" s="69" t="s">
        <v>497</v>
      </c>
      <c r="S151" s="72" t="s">
        <v>782</v>
      </c>
      <c r="T151" s="72" t="s">
        <v>590</v>
      </c>
      <c r="U151" s="69" t="s">
        <v>497</v>
      </c>
      <c r="V151" s="69" t="s">
        <v>497</v>
      </c>
      <c r="W151" s="73" t="s">
        <v>701</v>
      </c>
      <c r="X151" s="74"/>
      <c r="Y151" s="74"/>
      <c r="Z151" s="74"/>
      <c r="AA151" s="74"/>
      <c r="AB151" s="74"/>
      <c r="AC151" s="74"/>
    </row>
    <row r="152" ht="15.75" customHeight="1">
      <c r="A152" s="62" t="s">
        <v>785</v>
      </c>
      <c r="B152" s="75" t="s">
        <v>271</v>
      </c>
      <c r="C152" s="69" t="s">
        <v>502</v>
      </c>
      <c r="D152" s="67">
        <v>1250.0</v>
      </c>
      <c r="E152" s="69" t="s">
        <v>739</v>
      </c>
      <c r="F152" s="67">
        <v>1250.0</v>
      </c>
      <c r="G152" s="71">
        <v>4.0</v>
      </c>
      <c r="H152" s="70">
        <v>800.0</v>
      </c>
      <c r="I152" s="69" t="s">
        <v>781</v>
      </c>
      <c r="J152" s="70">
        <v>6500.0</v>
      </c>
      <c r="K152" s="69" t="s">
        <v>514</v>
      </c>
      <c r="L152" s="69" t="s">
        <v>507</v>
      </c>
      <c r="M152" s="62">
        <v>2.0</v>
      </c>
      <c r="N152" s="72" t="s">
        <v>493</v>
      </c>
      <c r="O152" s="69" t="s">
        <v>494</v>
      </c>
      <c r="P152" s="69" t="s">
        <v>495</v>
      </c>
      <c r="Q152" s="72" t="s">
        <v>556</v>
      </c>
      <c r="R152" s="69" t="s">
        <v>497</v>
      </c>
      <c r="S152" s="72" t="s">
        <v>782</v>
      </c>
      <c r="T152" s="72" t="s">
        <v>590</v>
      </c>
      <c r="U152" s="69" t="s">
        <v>497</v>
      </c>
      <c r="V152" s="69" t="s">
        <v>497</v>
      </c>
      <c r="W152" s="73" t="s">
        <v>701</v>
      </c>
      <c r="X152" s="74"/>
      <c r="Y152" s="74"/>
      <c r="Z152" s="74"/>
      <c r="AA152" s="74"/>
      <c r="AB152" s="74"/>
      <c r="AC152" s="74"/>
    </row>
    <row r="153" ht="15.75" customHeight="1">
      <c r="A153" s="62" t="s">
        <v>786</v>
      </c>
      <c r="B153" s="75" t="s">
        <v>274</v>
      </c>
      <c r="C153" s="69" t="s">
        <v>488</v>
      </c>
      <c r="D153" s="70">
        <v>7500.0</v>
      </c>
      <c r="E153" s="69" t="s">
        <v>518</v>
      </c>
      <c r="F153" s="70">
        <v>7500.0</v>
      </c>
      <c r="G153" s="71">
        <v>44.0</v>
      </c>
      <c r="H153" s="70">
        <v>8000.0</v>
      </c>
      <c r="I153" s="69" t="s">
        <v>787</v>
      </c>
      <c r="J153" s="70">
        <v>6500.0</v>
      </c>
      <c r="K153" s="69" t="s">
        <v>514</v>
      </c>
      <c r="L153" s="69" t="s">
        <v>507</v>
      </c>
      <c r="M153" s="62">
        <v>2.0</v>
      </c>
      <c r="N153" s="72" t="s">
        <v>493</v>
      </c>
      <c r="O153" s="69" t="s">
        <v>494</v>
      </c>
      <c r="P153" s="69" t="s">
        <v>495</v>
      </c>
      <c r="Q153" s="72" t="s">
        <v>556</v>
      </c>
      <c r="R153" s="69" t="s">
        <v>497</v>
      </c>
      <c r="S153" s="72" t="s">
        <v>788</v>
      </c>
      <c r="T153" s="72" t="s">
        <v>601</v>
      </c>
      <c r="U153" s="69" t="s">
        <v>497</v>
      </c>
      <c r="V153" s="69" t="s">
        <v>497</v>
      </c>
      <c r="W153" s="73" t="s">
        <v>701</v>
      </c>
      <c r="X153" s="74"/>
      <c r="Y153" s="74"/>
      <c r="Z153" s="74"/>
      <c r="AA153" s="74"/>
      <c r="AB153" s="74"/>
      <c r="AC153" s="74"/>
    </row>
    <row r="154" ht="15.75" customHeight="1">
      <c r="A154" s="62" t="s">
        <v>789</v>
      </c>
      <c r="B154" s="75" t="s">
        <v>274</v>
      </c>
      <c r="C154" s="69" t="s">
        <v>502</v>
      </c>
      <c r="D154" s="70">
        <v>7500.0</v>
      </c>
      <c r="E154" s="69" t="s">
        <v>739</v>
      </c>
      <c r="F154" s="70">
        <v>7500.0</v>
      </c>
      <c r="G154" s="71">
        <v>38.0</v>
      </c>
      <c r="H154" s="70">
        <v>7000.0</v>
      </c>
      <c r="I154" s="69" t="s">
        <v>787</v>
      </c>
      <c r="J154" s="70">
        <v>6700.0</v>
      </c>
      <c r="K154" s="69" t="s">
        <v>514</v>
      </c>
      <c r="L154" s="69" t="s">
        <v>507</v>
      </c>
      <c r="M154" s="62">
        <v>2.0</v>
      </c>
      <c r="N154" s="72" t="s">
        <v>493</v>
      </c>
      <c r="O154" s="69" t="s">
        <v>494</v>
      </c>
      <c r="P154" s="69" t="s">
        <v>495</v>
      </c>
      <c r="Q154" s="72" t="s">
        <v>556</v>
      </c>
      <c r="R154" s="69" t="s">
        <v>497</v>
      </c>
      <c r="S154" s="72" t="s">
        <v>788</v>
      </c>
      <c r="T154" s="72" t="s">
        <v>601</v>
      </c>
      <c r="U154" s="69" t="s">
        <v>497</v>
      </c>
      <c r="V154" s="69" t="s">
        <v>497</v>
      </c>
      <c r="W154" s="73" t="s">
        <v>701</v>
      </c>
      <c r="X154" s="74"/>
      <c r="Y154" s="74"/>
      <c r="Z154" s="74"/>
      <c r="AA154" s="74"/>
      <c r="AB154" s="74"/>
      <c r="AC154" s="74"/>
    </row>
    <row r="155" ht="15.75" customHeight="1">
      <c r="A155" s="62" t="s">
        <v>790</v>
      </c>
      <c r="B155" s="75" t="s">
        <v>276</v>
      </c>
      <c r="C155" s="69" t="s">
        <v>570</v>
      </c>
      <c r="D155" s="70">
        <v>700.0</v>
      </c>
      <c r="E155" s="69" t="s">
        <v>535</v>
      </c>
      <c r="F155" s="70">
        <v>700.0</v>
      </c>
      <c r="G155" s="71">
        <v>1.0</v>
      </c>
      <c r="H155" s="70">
        <v>300.0</v>
      </c>
      <c r="I155" s="76">
        <v>700.0</v>
      </c>
      <c r="J155" s="70">
        <v>6500.0</v>
      </c>
      <c r="K155" s="69" t="s">
        <v>491</v>
      </c>
      <c r="L155" s="69" t="s">
        <v>492</v>
      </c>
      <c r="M155" s="62">
        <v>2.0</v>
      </c>
      <c r="N155" s="72" t="s">
        <v>493</v>
      </c>
      <c r="O155" s="69" t="s">
        <v>586</v>
      </c>
      <c r="P155" s="69" t="s">
        <v>495</v>
      </c>
      <c r="Q155" s="72" t="s">
        <v>538</v>
      </c>
      <c r="R155" s="69" t="s">
        <v>497</v>
      </c>
      <c r="S155" s="72" t="s">
        <v>791</v>
      </c>
      <c r="T155" s="72" t="s">
        <v>499</v>
      </c>
      <c r="U155" s="69" t="s">
        <v>497</v>
      </c>
      <c r="V155" s="69" t="s">
        <v>497</v>
      </c>
      <c r="W155" s="73" t="s">
        <v>701</v>
      </c>
      <c r="X155" s="74"/>
      <c r="Y155" s="74"/>
      <c r="Z155" s="74"/>
      <c r="AA155" s="74"/>
      <c r="AB155" s="74"/>
      <c r="AC155" s="74"/>
    </row>
    <row r="156" ht="15.75" customHeight="1">
      <c r="A156" s="62" t="s">
        <v>792</v>
      </c>
      <c r="B156" s="75" t="s">
        <v>276</v>
      </c>
      <c r="C156" s="69" t="s">
        <v>502</v>
      </c>
      <c r="D156" s="70">
        <v>700.0</v>
      </c>
      <c r="E156" s="69" t="s">
        <v>739</v>
      </c>
      <c r="F156" s="70">
        <v>700.0</v>
      </c>
      <c r="G156" s="71">
        <v>1.0</v>
      </c>
      <c r="H156" s="70">
        <v>300.0</v>
      </c>
      <c r="I156" s="76">
        <v>700.0</v>
      </c>
      <c r="J156" s="70">
        <v>6500.0</v>
      </c>
      <c r="K156" s="69" t="s">
        <v>491</v>
      </c>
      <c r="L156" s="69" t="s">
        <v>492</v>
      </c>
      <c r="M156" s="62">
        <v>2.0</v>
      </c>
      <c r="N156" s="72" t="s">
        <v>493</v>
      </c>
      <c r="O156" s="69" t="s">
        <v>586</v>
      </c>
      <c r="P156" s="69" t="s">
        <v>495</v>
      </c>
      <c r="Q156" s="72" t="s">
        <v>538</v>
      </c>
      <c r="R156" s="69" t="s">
        <v>497</v>
      </c>
      <c r="S156" s="72" t="s">
        <v>791</v>
      </c>
      <c r="T156" s="72" t="s">
        <v>499</v>
      </c>
      <c r="U156" s="69" t="s">
        <v>497</v>
      </c>
      <c r="V156" s="69" t="s">
        <v>497</v>
      </c>
      <c r="W156" s="73" t="s">
        <v>701</v>
      </c>
      <c r="X156" s="74"/>
      <c r="Y156" s="74"/>
      <c r="Z156" s="74"/>
      <c r="AA156" s="74"/>
      <c r="AB156" s="74"/>
      <c r="AC156" s="74"/>
    </row>
    <row r="157" ht="15.75" customHeight="1">
      <c r="A157" s="62" t="s">
        <v>793</v>
      </c>
      <c r="B157" s="75" t="s">
        <v>278</v>
      </c>
      <c r="C157" s="69" t="s">
        <v>570</v>
      </c>
      <c r="D157" s="70">
        <v>1300.0</v>
      </c>
      <c r="E157" s="69" t="s">
        <v>535</v>
      </c>
      <c r="F157" s="70">
        <v>1300.0</v>
      </c>
      <c r="G157" s="71">
        <v>4.0</v>
      </c>
      <c r="H157" s="70">
        <v>800.0</v>
      </c>
      <c r="I157" s="76" t="s">
        <v>781</v>
      </c>
      <c r="J157" s="70">
        <v>6500.0</v>
      </c>
      <c r="K157" s="69" t="s">
        <v>514</v>
      </c>
      <c r="L157" s="69" t="s">
        <v>507</v>
      </c>
      <c r="M157" s="62">
        <v>2.0</v>
      </c>
      <c r="N157" s="72" t="s">
        <v>493</v>
      </c>
      <c r="O157" s="69" t="s">
        <v>494</v>
      </c>
      <c r="P157" s="69" t="s">
        <v>495</v>
      </c>
      <c r="Q157" s="72" t="s">
        <v>556</v>
      </c>
      <c r="R157" s="69" t="s">
        <v>497</v>
      </c>
      <c r="S157" s="72" t="s">
        <v>782</v>
      </c>
      <c r="T157" s="72" t="s">
        <v>590</v>
      </c>
      <c r="U157" s="69" t="s">
        <v>497</v>
      </c>
      <c r="V157" s="69" t="s">
        <v>497</v>
      </c>
      <c r="W157" s="73" t="s">
        <v>701</v>
      </c>
      <c r="X157" s="74"/>
      <c r="Y157" s="74"/>
      <c r="Z157" s="74"/>
      <c r="AA157" s="74"/>
      <c r="AB157" s="74"/>
      <c r="AC157" s="74"/>
    </row>
    <row r="158" ht="15.75" customHeight="1">
      <c r="A158" s="62" t="s">
        <v>794</v>
      </c>
      <c r="B158" s="75" t="s">
        <v>278</v>
      </c>
      <c r="C158" s="69" t="s">
        <v>502</v>
      </c>
      <c r="D158" s="70">
        <v>1300.0</v>
      </c>
      <c r="E158" s="69" t="s">
        <v>739</v>
      </c>
      <c r="F158" s="70">
        <v>1300.0</v>
      </c>
      <c r="G158" s="71">
        <v>4.0</v>
      </c>
      <c r="H158" s="70">
        <v>800.0</v>
      </c>
      <c r="I158" s="76" t="s">
        <v>781</v>
      </c>
      <c r="J158" s="70">
        <v>6500.0</v>
      </c>
      <c r="K158" s="69" t="s">
        <v>514</v>
      </c>
      <c r="L158" s="69" t="s">
        <v>507</v>
      </c>
      <c r="M158" s="62">
        <v>2.0</v>
      </c>
      <c r="N158" s="72" t="s">
        <v>493</v>
      </c>
      <c r="O158" s="69" t="s">
        <v>494</v>
      </c>
      <c r="P158" s="69" t="s">
        <v>495</v>
      </c>
      <c r="Q158" s="72" t="s">
        <v>556</v>
      </c>
      <c r="R158" s="69" t="s">
        <v>497</v>
      </c>
      <c r="S158" s="72" t="s">
        <v>782</v>
      </c>
      <c r="T158" s="72" t="s">
        <v>590</v>
      </c>
      <c r="U158" s="69" t="s">
        <v>497</v>
      </c>
      <c r="V158" s="69" t="s">
        <v>497</v>
      </c>
      <c r="W158" s="73" t="s">
        <v>701</v>
      </c>
      <c r="X158" s="74"/>
      <c r="Y158" s="74"/>
      <c r="Z158" s="74"/>
      <c r="AA158" s="74"/>
      <c r="AB158" s="74"/>
      <c r="AC158" s="74"/>
    </row>
    <row r="159" ht="15.75" customHeight="1">
      <c r="A159" s="62" t="s">
        <v>795</v>
      </c>
      <c r="B159" s="75" t="s">
        <v>280</v>
      </c>
      <c r="C159" s="69" t="s">
        <v>488</v>
      </c>
      <c r="D159" s="70">
        <v>7500.0</v>
      </c>
      <c r="E159" s="69" t="s">
        <v>518</v>
      </c>
      <c r="F159" s="70">
        <v>7500.0</v>
      </c>
      <c r="G159" s="71">
        <v>44.0</v>
      </c>
      <c r="H159" s="70">
        <v>8000.0</v>
      </c>
      <c r="I159" s="76" t="s">
        <v>787</v>
      </c>
      <c r="J159" s="70">
        <v>6500.0</v>
      </c>
      <c r="K159" s="69" t="s">
        <v>514</v>
      </c>
      <c r="L159" s="69" t="s">
        <v>507</v>
      </c>
      <c r="M159" s="62">
        <v>2.0</v>
      </c>
      <c r="N159" s="72" t="s">
        <v>493</v>
      </c>
      <c r="O159" s="69" t="s">
        <v>494</v>
      </c>
      <c r="P159" s="69" t="s">
        <v>495</v>
      </c>
      <c r="Q159" s="72" t="s">
        <v>556</v>
      </c>
      <c r="R159" s="69" t="s">
        <v>497</v>
      </c>
      <c r="S159" s="72" t="s">
        <v>788</v>
      </c>
      <c r="T159" s="72" t="s">
        <v>601</v>
      </c>
      <c r="U159" s="69" t="s">
        <v>497</v>
      </c>
      <c r="V159" s="69" t="s">
        <v>497</v>
      </c>
      <c r="W159" s="73" t="s">
        <v>701</v>
      </c>
      <c r="X159" s="74"/>
      <c r="Y159" s="74"/>
      <c r="Z159" s="74"/>
      <c r="AA159" s="74"/>
      <c r="AB159" s="74"/>
      <c r="AC159" s="74"/>
    </row>
    <row r="160" ht="15.75" customHeight="1">
      <c r="A160" s="62" t="s">
        <v>796</v>
      </c>
      <c r="B160" s="75" t="s">
        <v>280</v>
      </c>
      <c r="C160" s="69" t="s">
        <v>502</v>
      </c>
      <c r="D160" s="70">
        <v>7500.0</v>
      </c>
      <c r="E160" s="69" t="s">
        <v>739</v>
      </c>
      <c r="F160" s="70">
        <v>7500.0</v>
      </c>
      <c r="G160" s="71">
        <v>38.0</v>
      </c>
      <c r="H160" s="70">
        <v>7000.0</v>
      </c>
      <c r="I160" s="76" t="s">
        <v>787</v>
      </c>
      <c r="J160" s="70">
        <v>6700.0</v>
      </c>
      <c r="K160" s="69" t="s">
        <v>514</v>
      </c>
      <c r="L160" s="69" t="s">
        <v>507</v>
      </c>
      <c r="M160" s="62">
        <v>2.0</v>
      </c>
      <c r="N160" s="72" t="s">
        <v>493</v>
      </c>
      <c r="O160" s="69" t="s">
        <v>494</v>
      </c>
      <c r="P160" s="69" t="s">
        <v>495</v>
      </c>
      <c r="Q160" s="72" t="s">
        <v>556</v>
      </c>
      <c r="R160" s="69" t="s">
        <v>497</v>
      </c>
      <c r="S160" s="72" t="s">
        <v>788</v>
      </c>
      <c r="T160" s="72" t="s">
        <v>601</v>
      </c>
      <c r="U160" s="69" t="s">
        <v>497</v>
      </c>
      <c r="V160" s="69" t="s">
        <v>497</v>
      </c>
      <c r="W160" s="73" t="s">
        <v>701</v>
      </c>
      <c r="X160" s="74"/>
      <c r="Y160" s="74"/>
      <c r="Z160" s="74"/>
      <c r="AA160" s="74"/>
      <c r="AB160" s="74"/>
      <c r="AC160" s="74"/>
    </row>
    <row r="161" ht="15.75" customHeight="1">
      <c r="A161" s="62" t="s">
        <v>797</v>
      </c>
      <c r="B161" s="75" t="s">
        <v>281</v>
      </c>
      <c r="C161" s="69" t="s">
        <v>488</v>
      </c>
      <c r="D161" s="70">
        <v>8432.0</v>
      </c>
      <c r="E161" s="69" t="s">
        <v>518</v>
      </c>
      <c r="F161" s="70">
        <v>8432.0</v>
      </c>
      <c r="G161" s="71">
        <v>30.0</v>
      </c>
      <c r="H161" s="70">
        <v>5500.0</v>
      </c>
      <c r="I161" s="76" t="s">
        <v>767</v>
      </c>
      <c r="J161" s="70">
        <v>6500.0</v>
      </c>
      <c r="K161" s="69" t="s">
        <v>514</v>
      </c>
      <c r="L161" s="69" t="s">
        <v>492</v>
      </c>
      <c r="M161" s="62">
        <v>2.0</v>
      </c>
      <c r="N161" s="72" t="s">
        <v>493</v>
      </c>
      <c r="O161" s="69" t="s">
        <v>494</v>
      </c>
      <c r="P161" s="69" t="s">
        <v>495</v>
      </c>
      <c r="Q161" s="72" t="s">
        <v>556</v>
      </c>
      <c r="R161" s="69" t="s">
        <v>497</v>
      </c>
      <c r="S161" s="72" t="s">
        <v>768</v>
      </c>
      <c r="T161" s="72" t="s">
        <v>601</v>
      </c>
      <c r="U161" s="69" t="s">
        <v>497</v>
      </c>
      <c r="V161" s="69" t="s">
        <v>497</v>
      </c>
      <c r="W161" s="73" t="s">
        <v>701</v>
      </c>
      <c r="X161" s="74"/>
      <c r="Y161" s="74"/>
      <c r="Z161" s="74"/>
      <c r="AA161" s="74"/>
      <c r="AB161" s="74"/>
      <c r="AC161" s="74"/>
    </row>
    <row r="162" ht="15.75" customHeight="1">
      <c r="A162" s="62" t="s">
        <v>798</v>
      </c>
      <c r="B162" s="75" t="s">
        <v>281</v>
      </c>
      <c r="C162" s="69" t="s">
        <v>502</v>
      </c>
      <c r="D162" s="70">
        <v>8432.0</v>
      </c>
      <c r="E162" s="69" t="s">
        <v>739</v>
      </c>
      <c r="F162" s="70">
        <v>8432.0</v>
      </c>
      <c r="G162" s="71">
        <v>26.0</v>
      </c>
      <c r="H162" s="70">
        <v>4800.0</v>
      </c>
      <c r="I162" s="76" t="s">
        <v>767</v>
      </c>
      <c r="J162" s="70">
        <v>6500.0</v>
      </c>
      <c r="K162" s="69" t="s">
        <v>514</v>
      </c>
      <c r="L162" s="69" t="s">
        <v>492</v>
      </c>
      <c r="M162" s="62">
        <v>2.0</v>
      </c>
      <c r="N162" s="72" t="s">
        <v>493</v>
      </c>
      <c r="O162" s="69" t="s">
        <v>494</v>
      </c>
      <c r="P162" s="69" t="s">
        <v>495</v>
      </c>
      <c r="Q162" s="72" t="s">
        <v>556</v>
      </c>
      <c r="R162" s="69" t="s">
        <v>497</v>
      </c>
      <c r="S162" s="72" t="s">
        <v>768</v>
      </c>
      <c r="T162" s="72" t="s">
        <v>601</v>
      </c>
      <c r="U162" s="69" t="s">
        <v>497</v>
      </c>
      <c r="V162" s="69" t="s">
        <v>497</v>
      </c>
      <c r="W162" s="73" t="s">
        <v>701</v>
      </c>
      <c r="X162" s="74"/>
      <c r="Y162" s="74"/>
      <c r="Z162" s="74"/>
      <c r="AA162" s="74"/>
      <c r="AB162" s="74"/>
      <c r="AC162" s="74"/>
    </row>
    <row r="163" ht="15.75" customHeight="1">
      <c r="A163" s="62" t="s">
        <v>799</v>
      </c>
      <c r="B163" s="75" t="s">
        <v>282</v>
      </c>
      <c r="C163" s="69" t="s">
        <v>517</v>
      </c>
      <c r="D163" s="70">
        <v>7800.0</v>
      </c>
      <c r="E163" s="69" t="s">
        <v>489</v>
      </c>
      <c r="F163" s="70">
        <v>7800.0</v>
      </c>
      <c r="G163" s="71">
        <v>25.0</v>
      </c>
      <c r="H163" s="70">
        <v>4600.0</v>
      </c>
      <c r="I163" s="76" t="s">
        <v>619</v>
      </c>
      <c r="J163" s="70">
        <v>6500.0</v>
      </c>
      <c r="K163" s="69" t="s">
        <v>514</v>
      </c>
      <c r="L163" s="69" t="s">
        <v>507</v>
      </c>
      <c r="M163" s="62">
        <v>2.0</v>
      </c>
      <c r="N163" s="72" t="s">
        <v>537</v>
      </c>
      <c r="O163" s="69" t="s">
        <v>494</v>
      </c>
      <c r="P163" s="69" t="s">
        <v>495</v>
      </c>
      <c r="Q163" s="72" t="s">
        <v>538</v>
      </c>
      <c r="R163" s="69" t="s">
        <v>497</v>
      </c>
      <c r="S163" s="72" t="s">
        <v>542</v>
      </c>
      <c r="T163" s="72" t="s">
        <v>590</v>
      </c>
      <c r="U163" s="69" t="s">
        <v>497</v>
      </c>
      <c r="V163" s="69" t="s">
        <v>497</v>
      </c>
      <c r="W163" s="73" t="s">
        <v>701</v>
      </c>
      <c r="X163" s="74"/>
      <c r="Y163" s="74"/>
      <c r="Z163" s="74"/>
      <c r="AA163" s="74"/>
      <c r="AB163" s="74"/>
      <c r="AC163" s="74"/>
    </row>
    <row r="164" ht="15.75" customHeight="1">
      <c r="A164" s="62" t="s">
        <v>800</v>
      </c>
      <c r="B164" s="75" t="s">
        <v>282</v>
      </c>
      <c r="C164" s="69" t="s">
        <v>502</v>
      </c>
      <c r="D164" s="70">
        <v>7800.0</v>
      </c>
      <c r="E164" s="69" t="s">
        <v>375</v>
      </c>
      <c r="F164" s="70">
        <v>7800.0</v>
      </c>
      <c r="G164" s="71">
        <v>18.0</v>
      </c>
      <c r="H164" s="70">
        <v>3200.0</v>
      </c>
      <c r="I164" s="76" t="s">
        <v>787</v>
      </c>
      <c r="J164" s="70">
        <v>6500.0</v>
      </c>
      <c r="K164" s="69" t="s">
        <v>514</v>
      </c>
      <c r="L164" s="69" t="s">
        <v>507</v>
      </c>
      <c r="M164" s="62">
        <v>2.0</v>
      </c>
      <c r="N164" s="72" t="s">
        <v>537</v>
      </c>
      <c r="O164" s="69" t="s">
        <v>494</v>
      </c>
      <c r="P164" s="69" t="s">
        <v>495</v>
      </c>
      <c r="Q164" s="72" t="s">
        <v>538</v>
      </c>
      <c r="R164" s="69" t="s">
        <v>497</v>
      </c>
      <c r="S164" s="72" t="s">
        <v>542</v>
      </c>
      <c r="T164" s="72" t="s">
        <v>590</v>
      </c>
      <c r="U164" s="69" t="s">
        <v>497</v>
      </c>
      <c r="V164" s="69" t="s">
        <v>497</v>
      </c>
      <c r="W164" s="73" t="s">
        <v>701</v>
      </c>
      <c r="X164" s="74"/>
      <c r="Y164" s="74"/>
      <c r="Z164" s="74"/>
      <c r="AA164" s="74"/>
      <c r="AB164" s="74"/>
      <c r="AC164" s="74"/>
    </row>
    <row r="165" ht="15.75" customHeight="1">
      <c r="A165" s="62" t="s">
        <v>801</v>
      </c>
      <c r="B165" s="75" t="s">
        <v>287</v>
      </c>
      <c r="C165" s="69" t="s">
        <v>488</v>
      </c>
      <c r="D165" s="70">
        <v>3124.0</v>
      </c>
      <c r="E165" s="69" t="s">
        <v>489</v>
      </c>
      <c r="F165" s="70">
        <v>3124.0</v>
      </c>
      <c r="G165" s="71">
        <v>9.0</v>
      </c>
      <c r="H165" s="70">
        <v>1650.0</v>
      </c>
      <c r="I165" s="76" t="s">
        <v>802</v>
      </c>
      <c r="J165" s="70">
        <v>6500.0</v>
      </c>
      <c r="K165" s="69" t="s">
        <v>514</v>
      </c>
      <c r="L165" s="69" t="s">
        <v>507</v>
      </c>
      <c r="M165" s="62">
        <v>2.0</v>
      </c>
      <c r="N165" s="72" t="s">
        <v>537</v>
      </c>
      <c r="O165" s="69" t="s">
        <v>494</v>
      </c>
      <c r="P165" s="69" t="s">
        <v>495</v>
      </c>
      <c r="Q165" s="72" t="s">
        <v>538</v>
      </c>
      <c r="R165" s="69" t="s">
        <v>497</v>
      </c>
      <c r="S165" s="72" t="s">
        <v>593</v>
      </c>
      <c r="T165" s="72" t="s">
        <v>590</v>
      </c>
      <c r="U165" s="69" t="s">
        <v>497</v>
      </c>
      <c r="V165" s="69" t="s">
        <v>497</v>
      </c>
      <c r="W165" s="73" t="s">
        <v>701</v>
      </c>
      <c r="X165" s="74"/>
      <c r="Y165" s="74"/>
      <c r="Z165" s="74"/>
      <c r="AA165" s="74"/>
      <c r="AB165" s="74"/>
      <c r="AC165" s="74"/>
    </row>
    <row r="166" ht="15.75" customHeight="1">
      <c r="A166" s="62" t="s">
        <v>803</v>
      </c>
      <c r="B166" s="75" t="s">
        <v>287</v>
      </c>
      <c r="C166" s="69" t="s">
        <v>502</v>
      </c>
      <c r="D166" s="70">
        <v>3124.0</v>
      </c>
      <c r="E166" s="69" t="s">
        <v>375</v>
      </c>
      <c r="F166" s="70">
        <v>3124.0</v>
      </c>
      <c r="G166" s="71">
        <v>5.0</v>
      </c>
      <c r="H166" s="70">
        <v>960.0</v>
      </c>
      <c r="I166" s="76" t="s">
        <v>700</v>
      </c>
      <c r="J166" s="70">
        <v>6500.0</v>
      </c>
      <c r="K166" s="69" t="s">
        <v>514</v>
      </c>
      <c r="L166" s="69" t="s">
        <v>507</v>
      </c>
      <c r="M166" s="62">
        <v>2.0</v>
      </c>
      <c r="N166" s="72" t="s">
        <v>537</v>
      </c>
      <c r="O166" s="69" t="s">
        <v>494</v>
      </c>
      <c r="P166" s="69" t="s">
        <v>495</v>
      </c>
      <c r="Q166" s="72" t="s">
        <v>538</v>
      </c>
      <c r="R166" s="69" t="s">
        <v>497</v>
      </c>
      <c r="S166" s="72" t="s">
        <v>593</v>
      </c>
      <c r="T166" s="72" t="s">
        <v>590</v>
      </c>
      <c r="U166" s="69" t="s">
        <v>497</v>
      </c>
      <c r="V166" s="69" t="s">
        <v>497</v>
      </c>
      <c r="W166" s="73" t="s">
        <v>701</v>
      </c>
      <c r="X166" s="74"/>
      <c r="Y166" s="74"/>
      <c r="Z166" s="74"/>
      <c r="AA166" s="74"/>
      <c r="AB166" s="74"/>
      <c r="AC166" s="74"/>
    </row>
    <row r="167" ht="15.75" customHeight="1">
      <c r="A167" s="62" t="s">
        <v>804</v>
      </c>
      <c r="B167" s="62" t="s">
        <v>289</v>
      </c>
      <c r="C167" s="62" t="s">
        <v>517</v>
      </c>
      <c r="D167" s="63">
        <v>7800.0</v>
      </c>
      <c r="E167" s="62" t="s">
        <v>489</v>
      </c>
      <c r="F167" s="63">
        <v>7800.0</v>
      </c>
      <c r="G167" s="64">
        <v>25.0</v>
      </c>
      <c r="H167" s="63">
        <v>4600.0</v>
      </c>
      <c r="I167" s="62" t="s">
        <v>619</v>
      </c>
      <c r="J167" s="63">
        <v>6500.0</v>
      </c>
      <c r="K167" s="62" t="s">
        <v>514</v>
      </c>
      <c r="L167" s="62" t="s">
        <v>507</v>
      </c>
      <c r="M167" s="62">
        <v>2.0</v>
      </c>
      <c r="N167" s="65" t="s">
        <v>537</v>
      </c>
      <c r="O167" s="62" t="s">
        <v>494</v>
      </c>
      <c r="P167" s="62" t="s">
        <v>495</v>
      </c>
      <c r="Q167" s="66" t="s">
        <v>538</v>
      </c>
      <c r="R167" s="62" t="s">
        <v>497</v>
      </c>
      <c r="S167" s="65" t="s">
        <v>542</v>
      </c>
      <c r="T167" s="65" t="s">
        <v>590</v>
      </c>
      <c r="U167" s="62" t="s">
        <v>497</v>
      </c>
      <c r="V167" s="62" t="s">
        <v>497</v>
      </c>
      <c r="W167" s="64" t="s">
        <v>701</v>
      </c>
    </row>
    <row r="168" ht="15.75" customHeight="1">
      <c r="A168" s="62" t="s">
        <v>805</v>
      </c>
      <c r="B168" s="62" t="s">
        <v>289</v>
      </c>
      <c r="C168" s="62" t="s">
        <v>502</v>
      </c>
      <c r="D168" s="63">
        <v>7800.0</v>
      </c>
      <c r="E168" s="62" t="s">
        <v>375</v>
      </c>
      <c r="F168" s="63">
        <v>7800.0</v>
      </c>
      <c r="G168" s="64">
        <v>18.0</v>
      </c>
      <c r="H168" s="63">
        <v>3200.0</v>
      </c>
      <c r="I168" s="62" t="s">
        <v>787</v>
      </c>
      <c r="J168" s="63">
        <v>6500.0</v>
      </c>
      <c r="K168" s="62" t="s">
        <v>514</v>
      </c>
      <c r="L168" s="62" t="s">
        <v>507</v>
      </c>
      <c r="M168" s="62">
        <v>2.0</v>
      </c>
      <c r="N168" s="65" t="s">
        <v>537</v>
      </c>
      <c r="O168" s="62" t="s">
        <v>494</v>
      </c>
      <c r="P168" s="62" t="s">
        <v>495</v>
      </c>
      <c r="Q168" s="66" t="s">
        <v>538</v>
      </c>
      <c r="R168" s="62" t="s">
        <v>497</v>
      </c>
      <c r="S168" s="65" t="s">
        <v>542</v>
      </c>
      <c r="T168" s="65" t="s">
        <v>590</v>
      </c>
      <c r="U168" s="62" t="s">
        <v>497</v>
      </c>
      <c r="V168" s="62" t="s">
        <v>497</v>
      </c>
      <c r="W168" s="64" t="s">
        <v>701</v>
      </c>
    </row>
    <row r="169" ht="15.75" customHeight="1">
      <c r="A169" s="62" t="s">
        <v>806</v>
      </c>
      <c r="B169" s="62" t="s">
        <v>291</v>
      </c>
      <c r="C169" s="62" t="s">
        <v>488</v>
      </c>
      <c r="D169" s="63">
        <v>3124.0</v>
      </c>
      <c r="E169" s="62" t="s">
        <v>489</v>
      </c>
      <c r="F169" s="63">
        <v>3124.0</v>
      </c>
      <c r="G169" s="64">
        <v>9.0</v>
      </c>
      <c r="H169" s="63">
        <v>1650.0</v>
      </c>
      <c r="I169" s="62" t="s">
        <v>802</v>
      </c>
      <c r="J169" s="63">
        <v>6500.0</v>
      </c>
      <c r="K169" s="62" t="s">
        <v>514</v>
      </c>
      <c r="L169" s="62" t="s">
        <v>507</v>
      </c>
      <c r="M169" s="62">
        <v>2.0</v>
      </c>
      <c r="N169" s="65" t="s">
        <v>537</v>
      </c>
      <c r="O169" s="62" t="s">
        <v>494</v>
      </c>
      <c r="P169" s="62" t="s">
        <v>495</v>
      </c>
      <c r="Q169" s="66" t="s">
        <v>538</v>
      </c>
      <c r="R169" s="62" t="s">
        <v>497</v>
      </c>
      <c r="S169" s="65" t="s">
        <v>593</v>
      </c>
      <c r="T169" s="65" t="s">
        <v>590</v>
      </c>
      <c r="U169" s="62" t="s">
        <v>497</v>
      </c>
      <c r="V169" s="62" t="s">
        <v>497</v>
      </c>
      <c r="W169" s="64" t="s">
        <v>701</v>
      </c>
    </row>
    <row r="170" ht="15.75" customHeight="1">
      <c r="A170" s="62" t="s">
        <v>807</v>
      </c>
      <c r="B170" s="62" t="s">
        <v>291</v>
      </c>
      <c r="C170" s="62" t="s">
        <v>502</v>
      </c>
      <c r="D170" s="63">
        <v>3124.0</v>
      </c>
      <c r="E170" s="62" t="s">
        <v>375</v>
      </c>
      <c r="F170" s="63">
        <v>3124.0</v>
      </c>
      <c r="G170" s="64">
        <v>5.0</v>
      </c>
      <c r="H170" s="63">
        <v>960.0</v>
      </c>
      <c r="I170" s="62" t="s">
        <v>700</v>
      </c>
      <c r="J170" s="63">
        <v>6500.0</v>
      </c>
      <c r="K170" s="62" t="s">
        <v>514</v>
      </c>
      <c r="L170" s="62" t="s">
        <v>507</v>
      </c>
      <c r="M170" s="62">
        <v>2.0</v>
      </c>
      <c r="N170" s="65" t="s">
        <v>537</v>
      </c>
      <c r="O170" s="62" t="s">
        <v>494</v>
      </c>
      <c r="P170" s="62" t="s">
        <v>495</v>
      </c>
      <c r="Q170" s="66" t="s">
        <v>538</v>
      </c>
      <c r="R170" s="62" t="s">
        <v>497</v>
      </c>
      <c r="S170" s="65" t="s">
        <v>593</v>
      </c>
      <c r="T170" s="65" t="s">
        <v>590</v>
      </c>
      <c r="U170" s="62" t="s">
        <v>497</v>
      </c>
      <c r="V170" s="62" t="s">
        <v>497</v>
      </c>
      <c r="W170" s="64" t="s">
        <v>701</v>
      </c>
    </row>
    <row r="171" ht="15.75" customHeight="1">
      <c r="A171" s="62" t="s">
        <v>808</v>
      </c>
      <c r="B171" s="62" t="s">
        <v>293</v>
      </c>
      <c r="C171" s="62" t="s">
        <v>488</v>
      </c>
      <c r="D171" s="63">
        <v>4212.0</v>
      </c>
      <c r="E171" s="62" t="s">
        <v>489</v>
      </c>
      <c r="F171" s="63">
        <v>4212.0</v>
      </c>
      <c r="G171" s="64">
        <v>12.0</v>
      </c>
      <c r="H171" s="63">
        <v>2300.0</v>
      </c>
      <c r="I171" s="62" t="s">
        <v>802</v>
      </c>
      <c r="J171" s="63">
        <v>6500.0</v>
      </c>
      <c r="K171" s="62" t="s">
        <v>514</v>
      </c>
      <c r="L171" s="62" t="s">
        <v>507</v>
      </c>
      <c r="M171" s="62">
        <v>2.0</v>
      </c>
      <c r="N171" s="65" t="s">
        <v>537</v>
      </c>
      <c r="O171" s="62" t="s">
        <v>494</v>
      </c>
      <c r="P171" s="62" t="s">
        <v>495</v>
      </c>
      <c r="Q171" s="66" t="s">
        <v>538</v>
      </c>
      <c r="R171" s="62" t="s">
        <v>497</v>
      </c>
      <c r="S171" s="65" t="s">
        <v>542</v>
      </c>
      <c r="T171" s="65" t="s">
        <v>590</v>
      </c>
      <c r="U171" s="62" t="s">
        <v>497</v>
      </c>
      <c r="V171" s="62" t="s">
        <v>497</v>
      </c>
      <c r="W171" s="64" t="s">
        <v>701</v>
      </c>
    </row>
    <row r="172" ht="15.75" customHeight="1">
      <c r="A172" s="62" t="s">
        <v>809</v>
      </c>
      <c r="B172" s="62" t="s">
        <v>293</v>
      </c>
      <c r="C172" s="62" t="s">
        <v>502</v>
      </c>
      <c r="D172" s="63">
        <v>4212.0</v>
      </c>
      <c r="E172" s="62" t="s">
        <v>375</v>
      </c>
      <c r="F172" s="63">
        <v>4212.0</v>
      </c>
      <c r="G172" s="64">
        <v>7.0</v>
      </c>
      <c r="H172" s="63">
        <v>1400.0</v>
      </c>
      <c r="I172" s="62" t="s">
        <v>810</v>
      </c>
      <c r="J172" s="63">
        <v>6500.0</v>
      </c>
      <c r="K172" s="62" t="s">
        <v>514</v>
      </c>
      <c r="L172" s="62" t="s">
        <v>507</v>
      </c>
      <c r="M172" s="62">
        <v>2.0</v>
      </c>
      <c r="N172" s="65" t="s">
        <v>537</v>
      </c>
      <c r="O172" s="62" t="s">
        <v>494</v>
      </c>
      <c r="P172" s="62" t="s">
        <v>495</v>
      </c>
      <c r="Q172" s="66" t="s">
        <v>538</v>
      </c>
      <c r="R172" s="62" t="s">
        <v>497</v>
      </c>
      <c r="S172" s="65" t="s">
        <v>542</v>
      </c>
      <c r="T172" s="65" t="s">
        <v>590</v>
      </c>
      <c r="U172" s="62" t="s">
        <v>497</v>
      </c>
      <c r="V172" s="62" t="s">
        <v>497</v>
      </c>
      <c r="W172" s="64" t="s">
        <v>701</v>
      </c>
    </row>
    <row r="173" ht="15.75" customHeight="1">
      <c r="A173" s="62" t="s">
        <v>811</v>
      </c>
      <c r="B173" s="62" t="s">
        <v>295</v>
      </c>
      <c r="C173" s="62" t="s">
        <v>488</v>
      </c>
      <c r="D173" s="63">
        <v>5616.0</v>
      </c>
      <c r="E173" s="62" t="s">
        <v>535</v>
      </c>
      <c r="F173" s="63">
        <v>5616.0</v>
      </c>
      <c r="G173" s="64">
        <v>19.0</v>
      </c>
      <c r="H173" s="63">
        <v>3500.0</v>
      </c>
      <c r="I173" s="62" t="s">
        <v>812</v>
      </c>
      <c r="J173" s="63">
        <v>6700.0</v>
      </c>
      <c r="K173" s="62" t="s">
        <v>514</v>
      </c>
      <c r="L173" s="62" t="s">
        <v>507</v>
      </c>
      <c r="M173" s="62">
        <v>2.0</v>
      </c>
      <c r="N173" s="65" t="s">
        <v>537</v>
      </c>
      <c r="O173" s="62" t="s">
        <v>494</v>
      </c>
      <c r="P173" s="62" t="s">
        <v>495</v>
      </c>
      <c r="Q173" s="66" t="s">
        <v>538</v>
      </c>
      <c r="R173" s="62" t="s">
        <v>497</v>
      </c>
      <c r="S173" s="65" t="s">
        <v>648</v>
      </c>
      <c r="T173" s="65" t="s">
        <v>590</v>
      </c>
      <c r="U173" s="62" t="s">
        <v>497</v>
      </c>
      <c r="V173" s="62" t="s">
        <v>497</v>
      </c>
      <c r="W173" s="64" t="s">
        <v>701</v>
      </c>
    </row>
    <row r="174" ht="15.75" customHeight="1">
      <c r="A174" s="62" t="s">
        <v>813</v>
      </c>
      <c r="B174" s="62" t="s">
        <v>295</v>
      </c>
      <c r="C174" s="62" t="s">
        <v>502</v>
      </c>
      <c r="D174" s="63">
        <v>5616.0</v>
      </c>
      <c r="E174" s="62" t="s">
        <v>739</v>
      </c>
      <c r="F174" s="63">
        <v>5616.0</v>
      </c>
      <c r="G174" s="64">
        <v>19.0</v>
      </c>
      <c r="H174" s="63">
        <v>3500.0</v>
      </c>
      <c r="I174" s="62" t="s">
        <v>814</v>
      </c>
      <c r="J174" s="63">
        <v>6500.0</v>
      </c>
      <c r="K174" s="62" t="s">
        <v>514</v>
      </c>
      <c r="L174" s="62" t="s">
        <v>507</v>
      </c>
      <c r="M174" s="62">
        <v>2.0</v>
      </c>
      <c r="N174" s="65" t="s">
        <v>537</v>
      </c>
      <c r="O174" s="62" t="s">
        <v>494</v>
      </c>
      <c r="P174" s="62" t="s">
        <v>495</v>
      </c>
      <c r="Q174" s="66" t="s">
        <v>538</v>
      </c>
      <c r="R174" s="62" t="s">
        <v>497</v>
      </c>
      <c r="S174" s="65" t="s">
        <v>648</v>
      </c>
      <c r="T174" s="65" t="s">
        <v>590</v>
      </c>
      <c r="U174" s="62" t="s">
        <v>497</v>
      </c>
      <c r="V174" s="62" t="s">
        <v>497</v>
      </c>
      <c r="W174" s="64" t="s">
        <v>701</v>
      </c>
    </row>
    <row r="175" ht="15.75" customHeight="1">
      <c r="A175" s="62" t="s">
        <v>815</v>
      </c>
      <c r="B175" s="62" t="s">
        <v>297</v>
      </c>
      <c r="C175" s="62" t="s">
        <v>488</v>
      </c>
      <c r="D175" s="63">
        <v>7488.0</v>
      </c>
      <c r="E175" s="62" t="s">
        <v>489</v>
      </c>
      <c r="F175" s="63">
        <v>7488.0</v>
      </c>
      <c r="G175" s="64">
        <v>23.0</v>
      </c>
      <c r="H175" s="63">
        <v>4200.0</v>
      </c>
      <c r="I175" s="62" t="s">
        <v>816</v>
      </c>
      <c r="J175" s="63">
        <v>6500.0</v>
      </c>
      <c r="K175" s="62" t="s">
        <v>514</v>
      </c>
      <c r="L175" s="62" t="s">
        <v>507</v>
      </c>
      <c r="M175" s="62">
        <v>2.0</v>
      </c>
      <c r="N175" s="65" t="s">
        <v>537</v>
      </c>
      <c r="O175" s="62" t="s">
        <v>494</v>
      </c>
      <c r="P175" s="62" t="s">
        <v>495</v>
      </c>
      <c r="Q175" s="66" t="s">
        <v>538</v>
      </c>
      <c r="R175" s="62" t="s">
        <v>497</v>
      </c>
      <c r="S175" s="65" t="s">
        <v>593</v>
      </c>
      <c r="T175" s="65" t="s">
        <v>590</v>
      </c>
      <c r="U175" s="62" t="s">
        <v>497</v>
      </c>
      <c r="V175" s="62" t="s">
        <v>497</v>
      </c>
      <c r="W175" s="64" t="s">
        <v>701</v>
      </c>
    </row>
    <row r="176" ht="15.75" customHeight="1">
      <c r="A176" s="62" t="s">
        <v>817</v>
      </c>
      <c r="B176" s="62" t="s">
        <v>297</v>
      </c>
      <c r="C176" s="62" t="s">
        <v>570</v>
      </c>
      <c r="D176" s="63">
        <v>7488.0</v>
      </c>
      <c r="E176" s="62" t="s">
        <v>375</v>
      </c>
      <c r="F176" s="63">
        <v>7488.0</v>
      </c>
      <c r="G176" s="64">
        <v>16.0</v>
      </c>
      <c r="H176" s="63">
        <v>3000.0</v>
      </c>
      <c r="I176" s="62" t="s">
        <v>816</v>
      </c>
      <c r="J176" s="63">
        <v>6500.0</v>
      </c>
      <c r="K176" s="62" t="s">
        <v>514</v>
      </c>
      <c r="L176" s="62" t="s">
        <v>507</v>
      </c>
      <c r="M176" s="62">
        <v>2.0</v>
      </c>
      <c r="N176" s="65" t="s">
        <v>537</v>
      </c>
      <c r="O176" s="62" t="s">
        <v>494</v>
      </c>
      <c r="P176" s="62" t="s">
        <v>495</v>
      </c>
      <c r="Q176" s="66" t="s">
        <v>538</v>
      </c>
      <c r="R176" s="62" t="s">
        <v>497</v>
      </c>
      <c r="S176" s="65" t="s">
        <v>593</v>
      </c>
      <c r="T176" s="65" t="s">
        <v>590</v>
      </c>
      <c r="U176" s="62" t="s">
        <v>497</v>
      </c>
      <c r="V176" s="62" t="s">
        <v>497</v>
      </c>
      <c r="W176" s="64" t="s">
        <v>701</v>
      </c>
    </row>
    <row r="177" ht="15.75" customHeight="1">
      <c r="A177" s="62" t="s">
        <v>818</v>
      </c>
      <c r="B177" s="75" t="s">
        <v>299</v>
      </c>
      <c r="C177" s="69" t="s">
        <v>488</v>
      </c>
      <c r="D177" s="70">
        <v>9360.0</v>
      </c>
      <c r="E177" s="69" t="s">
        <v>489</v>
      </c>
      <c r="F177" s="70">
        <v>9360.0</v>
      </c>
      <c r="G177" s="77">
        <f t="shared" ref="G177:G178" si="14">(H177/180)</f>
        <v>37.5</v>
      </c>
      <c r="H177" s="70">
        <v>6750.0</v>
      </c>
      <c r="I177" s="76" t="s">
        <v>819</v>
      </c>
      <c r="J177" s="70">
        <v>6500.0</v>
      </c>
      <c r="K177" s="69" t="s">
        <v>514</v>
      </c>
      <c r="L177" s="69" t="s">
        <v>507</v>
      </c>
      <c r="M177" s="62">
        <v>2.0</v>
      </c>
      <c r="N177" s="72" t="s">
        <v>537</v>
      </c>
      <c r="O177" s="69" t="s">
        <v>494</v>
      </c>
      <c r="P177" s="69" t="s">
        <v>495</v>
      </c>
      <c r="Q177" s="72" t="s">
        <v>538</v>
      </c>
      <c r="R177" s="69" t="s">
        <v>497</v>
      </c>
      <c r="S177" s="72" t="s">
        <v>615</v>
      </c>
      <c r="T177" s="72" t="s">
        <v>590</v>
      </c>
      <c r="U177" s="69" t="s">
        <v>497</v>
      </c>
      <c r="V177" s="69" t="s">
        <v>497</v>
      </c>
      <c r="W177" s="73" t="s">
        <v>701</v>
      </c>
      <c r="X177" s="74"/>
      <c r="Y177" s="74"/>
      <c r="Z177" s="74"/>
      <c r="AA177" s="74"/>
      <c r="AB177" s="74"/>
      <c r="AC177" s="74"/>
    </row>
    <row r="178" ht="15.75" customHeight="1">
      <c r="A178" s="62" t="s">
        <v>820</v>
      </c>
      <c r="B178" s="75" t="s">
        <v>299</v>
      </c>
      <c r="C178" s="69" t="s">
        <v>502</v>
      </c>
      <c r="D178" s="70">
        <v>9360.0</v>
      </c>
      <c r="E178" s="69" t="s">
        <v>375</v>
      </c>
      <c r="F178" s="70">
        <v>9360.0</v>
      </c>
      <c r="G178" s="77">
        <f t="shared" si="14"/>
        <v>22.22222222</v>
      </c>
      <c r="H178" s="70">
        <v>4000.0</v>
      </c>
      <c r="I178" s="76" t="s">
        <v>821</v>
      </c>
      <c r="J178" s="70">
        <v>6500.0</v>
      </c>
      <c r="K178" s="69" t="s">
        <v>514</v>
      </c>
      <c r="L178" s="69" t="s">
        <v>507</v>
      </c>
      <c r="M178" s="62">
        <v>2.0</v>
      </c>
      <c r="N178" s="72" t="s">
        <v>537</v>
      </c>
      <c r="O178" s="69" t="s">
        <v>494</v>
      </c>
      <c r="P178" s="69" t="s">
        <v>495</v>
      </c>
      <c r="Q178" s="72" t="s">
        <v>538</v>
      </c>
      <c r="R178" s="69" t="s">
        <v>497</v>
      </c>
      <c r="S178" s="72" t="s">
        <v>615</v>
      </c>
      <c r="T178" s="72" t="s">
        <v>590</v>
      </c>
      <c r="U178" s="69" t="s">
        <v>497</v>
      </c>
      <c r="V178" s="69" t="s">
        <v>497</v>
      </c>
      <c r="W178" s="73" t="s">
        <v>701</v>
      </c>
      <c r="X178" s="74"/>
      <c r="Y178" s="74"/>
      <c r="Z178" s="74"/>
      <c r="AA178" s="74"/>
      <c r="AB178" s="74"/>
      <c r="AC178" s="74"/>
    </row>
    <row r="179" ht="15.75" customHeight="1">
      <c r="A179" s="62" t="s">
        <v>822</v>
      </c>
      <c r="B179" s="75" t="s">
        <v>301</v>
      </c>
      <c r="C179" s="75" t="s">
        <v>517</v>
      </c>
      <c r="D179" s="67">
        <v>9984.0</v>
      </c>
      <c r="E179" s="69" t="s">
        <v>535</v>
      </c>
      <c r="F179" s="67">
        <v>9984.0</v>
      </c>
      <c r="G179" s="77">
        <v>4.0</v>
      </c>
      <c r="H179" s="67">
        <v>4000.0</v>
      </c>
      <c r="I179" s="76" t="s">
        <v>819</v>
      </c>
      <c r="J179" s="70">
        <v>6500.0</v>
      </c>
      <c r="K179" s="69" t="s">
        <v>514</v>
      </c>
      <c r="L179" s="69" t="s">
        <v>507</v>
      </c>
      <c r="M179" s="62">
        <v>2.0</v>
      </c>
      <c r="N179" s="72" t="s">
        <v>493</v>
      </c>
      <c r="O179" s="69" t="s">
        <v>494</v>
      </c>
      <c r="P179" s="69" t="s">
        <v>495</v>
      </c>
      <c r="Q179" s="72" t="s">
        <v>556</v>
      </c>
      <c r="R179" s="69" t="s">
        <v>497</v>
      </c>
      <c r="S179" s="72" t="s">
        <v>782</v>
      </c>
      <c r="T179" s="72" t="s">
        <v>590</v>
      </c>
      <c r="U179" s="69" t="s">
        <v>497</v>
      </c>
      <c r="V179" s="69" t="s">
        <v>497</v>
      </c>
      <c r="W179" s="73" t="s">
        <v>701</v>
      </c>
      <c r="X179" s="74"/>
      <c r="Y179" s="74"/>
      <c r="Z179" s="74"/>
      <c r="AA179" s="74"/>
      <c r="AB179" s="74"/>
      <c r="AC179" s="74"/>
    </row>
    <row r="180" ht="15.75" customHeight="1">
      <c r="A180" s="62" t="s">
        <v>823</v>
      </c>
      <c r="B180" s="75" t="s">
        <v>301</v>
      </c>
      <c r="C180" s="69" t="s">
        <v>502</v>
      </c>
      <c r="D180" s="67">
        <v>9984.0</v>
      </c>
      <c r="E180" s="69" t="s">
        <v>739</v>
      </c>
      <c r="F180" s="67">
        <v>9984.0</v>
      </c>
      <c r="G180" s="77">
        <v>4.0</v>
      </c>
      <c r="H180" s="70">
        <v>6750.0</v>
      </c>
      <c r="I180" s="76" t="s">
        <v>821</v>
      </c>
      <c r="J180" s="70">
        <v>6500.0</v>
      </c>
      <c r="K180" s="69" t="s">
        <v>514</v>
      </c>
      <c r="L180" s="69" t="s">
        <v>507</v>
      </c>
      <c r="M180" s="62">
        <v>2.0</v>
      </c>
      <c r="N180" s="72" t="s">
        <v>493</v>
      </c>
      <c r="O180" s="69" t="s">
        <v>494</v>
      </c>
      <c r="P180" s="69" t="s">
        <v>495</v>
      </c>
      <c r="Q180" s="72" t="s">
        <v>556</v>
      </c>
      <c r="R180" s="69" t="s">
        <v>497</v>
      </c>
      <c r="S180" s="72" t="s">
        <v>782</v>
      </c>
      <c r="T180" s="72" t="s">
        <v>590</v>
      </c>
      <c r="U180" s="69" t="s">
        <v>497</v>
      </c>
      <c r="V180" s="69" t="s">
        <v>497</v>
      </c>
      <c r="W180" s="73" t="s">
        <v>701</v>
      </c>
      <c r="X180" s="74"/>
      <c r="Y180" s="74"/>
      <c r="Z180" s="74"/>
      <c r="AA180" s="74"/>
      <c r="AB180" s="74"/>
      <c r="AC180" s="74"/>
    </row>
    <row r="181" ht="15.75" customHeight="1">
      <c r="A181" s="62" t="s">
        <v>824</v>
      </c>
      <c r="B181" s="75" t="s">
        <v>303</v>
      </c>
      <c r="C181" s="69" t="s">
        <v>488</v>
      </c>
      <c r="D181" s="67">
        <v>6240.0</v>
      </c>
      <c r="E181" s="69" t="s">
        <v>489</v>
      </c>
      <c r="F181" s="67">
        <v>6240.0</v>
      </c>
      <c r="G181" s="78">
        <v>20.0</v>
      </c>
      <c r="H181" s="70">
        <v>3500.0</v>
      </c>
      <c r="I181" s="79" t="s">
        <v>787</v>
      </c>
      <c r="J181" s="70">
        <v>6700.0</v>
      </c>
      <c r="K181" s="69" t="s">
        <v>514</v>
      </c>
      <c r="L181" s="69" t="s">
        <v>507</v>
      </c>
      <c r="M181" s="62">
        <v>2.0</v>
      </c>
      <c r="N181" s="72" t="s">
        <v>537</v>
      </c>
      <c r="O181" s="69" t="s">
        <v>494</v>
      </c>
      <c r="P181" s="69" t="s">
        <v>495</v>
      </c>
      <c r="Q181" s="72" t="s">
        <v>538</v>
      </c>
      <c r="R181" s="69" t="s">
        <v>497</v>
      </c>
      <c r="S181" s="72" t="s">
        <v>648</v>
      </c>
      <c r="T181" s="72" t="s">
        <v>590</v>
      </c>
      <c r="U181" s="69" t="s">
        <v>497</v>
      </c>
      <c r="V181" s="69" t="s">
        <v>497</v>
      </c>
      <c r="W181" s="73" t="s">
        <v>701</v>
      </c>
      <c r="X181" s="74"/>
      <c r="Y181" s="74"/>
      <c r="Z181" s="74"/>
      <c r="AA181" s="74"/>
      <c r="AB181" s="74"/>
      <c r="AC181" s="74"/>
    </row>
    <row r="182" ht="15.75" customHeight="1">
      <c r="A182" s="62" t="s">
        <v>825</v>
      </c>
      <c r="B182" s="75" t="s">
        <v>303</v>
      </c>
      <c r="C182" s="69" t="s">
        <v>502</v>
      </c>
      <c r="D182" s="67">
        <v>6240.0</v>
      </c>
      <c r="E182" s="69" t="s">
        <v>375</v>
      </c>
      <c r="F182" s="67">
        <v>6240.0</v>
      </c>
      <c r="G182" s="78">
        <v>20.0</v>
      </c>
      <c r="H182" s="70">
        <v>3500.0</v>
      </c>
      <c r="I182" s="79">
        <v>6500.0</v>
      </c>
      <c r="J182" s="70">
        <v>6500.0</v>
      </c>
      <c r="K182" s="69" t="s">
        <v>514</v>
      </c>
      <c r="L182" s="69" t="s">
        <v>507</v>
      </c>
      <c r="M182" s="62">
        <v>2.0</v>
      </c>
      <c r="N182" s="72" t="s">
        <v>537</v>
      </c>
      <c r="O182" s="69" t="s">
        <v>494</v>
      </c>
      <c r="P182" s="69" t="s">
        <v>495</v>
      </c>
      <c r="Q182" s="72" t="s">
        <v>538</v>
      </c>
      <c r="R182" s="69" t="s">
        <v>497</v>
      </c>
      <c r="S182" s="72" t="s">
        <v>648</v>
      </c>
      <c r="T182" s="72" t="s">
        <v>590</v>
      </c>
      <c r="U182" s="69" t="s">
        <v>497</v>
      </c>
      <c r="V182" s="69" t="s">
        <v>497</v>
      </c>
      <c r="W182" s="73" t="s">
        <v>701</v>
      </c>
      <c r="X182" s="74"/>
      <c r="Y182" s="74"/>
      <c r="Z182" s="74"/>
      <c r="AA182" s="74"/>
      <c r="AB182" s="74"/>
      <c r="AC182" s="74"/>
    </row>
    <row r="183" ht="15.75" customHeight="1">
      <c r="A183" s="62" t="s">
        <v>826</v>
      </c>
      <c r="B183" s="75" t="s">
        <v>305</v>
      </c>
      <c r="C183" s="69" t="s">
        <v>488</v>
      </c>
      <c r="D183" s="70">
        <v>1248.0</v>
      </c>
      <c r="E183" s="69" t="s">
        <v>489</v>
      </c>
      <c r="F183" s="70">
        <v>1248.0</v>
      </c>
      <c r="G183" s="77">
        <f t="shared" ref="G183:G184" si="15">(H183/180)</f>
        <v>3.888888889</v>
      </c>
      <c r="H183" s="70">
        <v>700.0</v>
      </c>
      <c r="I183" s="76" t="s">
        <v>536</v>
      </c>
      <c r="J183" s="70">
        <v>6500.0</v>
      </c>
      <c r="K183" s="69" t="s">
        <v>514</v>
      </c>
      <c r="L183" s="69" t="s">
        <v>507</v>
      </c>
      <c r="M183" s="62">
        <v>2.0</v>
      </c>
      <c r="N183" s="72" t="s">
        <v>537</v>
      </c>
      <c r="O183" s="69" t="s">
        <v>494</v>
      </c>
      <c r="P183" s="69" t="s">
        <v>495</v>
      </c>
      <c r="Q183" s="72" t="s">
        <v>538</v>
      </c>
      <c r="R183" s="69" t="s">
        <v>497</v>
      </c>
      <c r="S183" s="72" t="s">
        <v>593</v>
      </c>
      <c r="T183" s="72" t="s">
        <v>590</v>
      </c>
      <c r="U183" s="69" t="s">
        <v>497</v>
      </c>
      <c r="V183" s="69" t="s">
        <v>497</v>
      </c>
      <c r="W183" s="71" t="s">
        <v>776</v>
      </c>
      <c r="X183" s="74"/>
      <c r="Y183" s="74"/>
      <c r="Z183" s="74"/>
      <c r="AA183" s="74"/>
      <c r="AB183" s="74"/>
      <c r="AC183" s="74"/>
    </row>
    <row r="184" ht="15.75" customHeight="1">
      <c r="A184" s="62" t="s">
        <v>827</v>
      </c>
      <c r="B184" s="75" t="s">
        <v>305</v>
      </c>
      <c r="C184" s="69" t="s">
        <v>502</v>
      </c>
      <c r="D184" s="70">
        <v>1248.0</v>
      </c>
      <c r="E184" s="69" t="s">
        <v>375</v>
      </c>
      <c r="F184" s="70">
        <v>1248.0</v>
      </c>
      <c r="G184" s="77">
        <f t="shared" si="15"/>
        <v>3.333333333</v>
      </c>
      <c r="H184" s="70">
        <v>600.0</v>
      </c>
      <c r="I184" s="76" t="s">
        <v>513</v>
      </c>
      <c r="J184" s="70">
        <v>6500.0</v>
      </c>
      <c r="K184" s="69" t="s">
        <v>514</v>
      </c>
      <c r="L184" s="69" t="s">
        <v>507</v>
      </c>
      <c r="M184" s="62">
        <v>2.0</v>
      </c>
      <c r="N184" s="72" t="s">
        <v>537</v>
      </c>
      <c r="O184" s="69" t="s">
        <v>494</v>
      </c>
      <c r="P184" s="69" t="s">
        <v>495</v>
      </c>
      <c r="Q184" s="72" t="s">
        <v>538</v>
      </c>
      <c r="R184" s="69" t="s">
        <v>497</v>
      </c>
      <c r="S184" s="72" t="s">
        <v>593</v>
      </c>
      <c r="T184" s="72" t="s">
        <v>590</v>
      </c>
      <c r="U184" s="69" t="s">
        <v>497</v>
      </c>
      <c r="V184" s="69" t="s">
        <v>497</v>
      </c>
      <c r="W184" s="71" t="s">
        <v>776</v>
      </c>
      <c r="X184" s="74"/>
      <c r="Y184" s="74"/>
      <c r="Z184" s="74"/>
      <c r="AA184" s="74"/>
      <c r="AB184" s="74"/>
      <c r="AC184" s="74"/>
    </row>
    <row r="185" ht="15.75" customHeight="1">
      <c r="A185" s="62" t="s">
        <v>828</v>
      </c>
      <c r="B185" s="75" t="s">
        <v>309</v>
      </c>
      <c r="C185" s="75" t="s">
        <v>488</v>
      </c>
      <c r="D185" s="67">
        <v>2964.0</v>
      </c>
      <c r="E185" s="75" t="s">
        <v>535</v>
      </c>
      <c r="F185" s="67">
        <v>2964.0</v>
      </c>
      <c r="G185" s="78">
        <v>6.0</v>
      </c>
      <c r="H185" s="67">
        <v>1080.0</v>
      </c>
      <c r="I185" s="79" t="s">
        <v>600</v>
      </c>
      <c r="J185" s="70">
        <v>6500.0</v>
      </c>
      <c r="K185" s="62" t="s">
        <v>514</v>
      </c>
      <c r="L185" s="62" t="s">
        <v>507</v>
      </c>
      <c r="M185" s="62">
        <v>2.0</v>
      </c>
      <c r="N185" s="65" t="s">
        <v>537</v>
      </c>
      <c r="O185" s="62" t="s">
        <v>494</v>
      </c>
      <c r="P185" s="62" t="s">
        <v>495</v>
      </c>
      <c r="Q185" s="66" t="s">
        <v>538</v>
      </c>
      <c r="R185" s="62" t="s">
        <v>497</v>
      </c>
      <c r="S185" s="65" t="s">
        <v>542</v>
      </c>
      <c r="T185" s="65" t="s">
        <v>590</v>
      </c>
      <c r="U185" s="62" t="s">
        <v>497</v>
      </c>
      <c r="V185" s="62" t="s">
        <v>497</v>
      </c>
      <c r="W185" s="71" t="s">
        <v>776</v>
      </c>
      <c r="X185" s="74"/>
      <c r="Y185" s="74"/>
      <c r="Z185" s="74"/>
      <c r="AA185" s="74"/>
      <c r="AB185" s="74"/>
      <c r="AC185" s="74"/>
    </row>
    <row r="186" ht="15.75" customHeight="1">
      <c r="A186" s="62" t="s">
        <v>829</v>
      </c>
      <c r="B186" s="75" t="s">
        <v>309</v>
      </c>
      <c r="C186" s="75" t="s">
        <v>502</v>
      </c>
      <c r="D186" s="67">
        <v>2964.0</v>
      </c>
      <c r="E186" s="75" t="s">
        <v>739</v>
      </c>
      <c r="F186" s="67">
        <v>2964.0</v>
      </c>
      <c r="G186" s="78">
        <v>6.0</v>
      </c>
      <c r="H186" s="67">
        <v>1080.0</v>
      </c>
      <c r="I186" s="79" t="s">
        <v>600</v>
      </c>
      <c r="J186" s="70">
        <v>6500.0</v>
      </c>
      <c r="K186" s="62" t="s">
        <v>514</v>
      </c>
      <c r="L186" s="62" t="s">
        <v>507</v>
      </c>
      <c r="M186" s="62">
        <v>2.0</v>
      </c>
      <c r="N186" s="65" t="s">
        <v>537</v>
      </c>
      <c r="O186" s="62" t="s">
        <v>494</v>
      </c>
      <c r="P186" s="62" t="s">
        <v>495</v>
      </c>
      <c r="Q186" s="66" t="s">
        <v>538</v>
      </c>
      <c r="R186" s="62" t="s">
        <v>497</v>
      </c>
      <c r="S186" s="65" t="s">
        <v>542</v>
      </c>
      <c r="T186" s="65" t="s">
        <v>590</v>
      </c>
      <c r="U186" s="62" t="s">
        <v>497</v>
      </c>
      <c r="V186" s="62" t="s">
        <v>497</v>
      </c>
      <c r="W186" s="71" t="s">
        <v>776</v>
      </c>
      <c r="X186" s="74"/>
      <c r="Y186" s="74"/>
      <c r="Z186" s="74"/>
      <c r="AA186" s="74"/>
      <c r="AB186" s="74"/>
      <c r="AC186" s="74"/>
    </row>
    <row r="187" ht="15.75" customHeight="1">
      <c r="A187" s="62" t="s">
        <v>830</v>
      </c>
      <c r="B187" s="75" t="s">
        <v>310</v>
      </c>
      <c r="C187" s="75" t="s">
        <v>488</v>
      </c>
      <c r="D187" s="67">
        <v>3120.0</v>
      </c>
      <c r="E187" s="75" t="s">
        <v>489</v>
      </c>
      <c r="F187" s="67">
        <v>3120.0</v>
      </c>
      <c r="G187" s="71">
        <v>9.0</v>
      </c>
      <c r="H187" s="70">
        <v>1650.0</v>
      </c>
      <c r="I187" s="76" t="s">
        <v>802</v>
      </c>
      <c r="J187" s="70">
        <v>6500.0</v>
      </c>
      <c r="K187" s="69" t="s">
        <v>514</v>
      </c>
      <c r="L187" s="69" t="s">
        <v>507</v>
      </c>
      <c r="M187" s="62">
        <v>2.0</v>
      </c>
      <c r="N187" s="72" t="s">
        <v>537</v>
      </c>
      <c r="O187" s="69" t="s">
        <v>494</v>
      </c>
      <c r="P187" s="69" t="s">
        <v>495</v>
      </c>
      <c r="Q187" s="72" t="s">
        <v>538</v>
      </c>
      <c r="R187" s="69" t="s">
        <v>497</v>
      </c>
      <c r="S187" s="72" t="s">
        <v>593</v>
      </c>
      <c r="T187" s="72" t="s">
        <v>590</v>
      </c>
      <c r="U187" s="69" t="s">
        <v>497</v>
      </c>
      <c r="V187" s="69" t="s">
        <v>497</v>
      </c>
      <c r="W187" s="73" t="s">
        <v>701</v>
      </c>
      <c r="X187" s="74"/>
      <c r="Y187" s="74"/>
      <c r="Z187" s="74"/>
      <c r="AA187" s="74"/>
      <c r="AB187" s="74"/>
      <c r="AC187" s="74"/>
    </row>
    <row r="188" ht="15.75" customHeight="1">
      <c r="A188" s="62" t="s">
        <v>831</v>
      </c>
      <c r="B188" s="75" t="s">
        <v>310</v>
      </c>
      <c r="C188" s="75" t="s">
        <v>502</v>
      </c>
      <c r="D188" s="67">
        <v>3120.0</v>
      </c>
      <c r="E188" s="75" t="s">
        <v>375</v>
      </c>
      <c r="F188" s="67">
        <v>3120.0</v>
      </c>
      <c r="G188" s="71">
        <v>5.0</v>
      </c>
      <c r="H188" s="70">
        <v>960.0</v>
      </c>
      <c r="I188" s="76" t="s">
        <v>700</v>
      </c>
      <c r="J188" s="70">
        <v>6500.0</v>
      </c>
      <c r="K188" s="69" t="s">
        <v>514</v>
      </c>
      <c r="L188" s="69" t="s">
        <v>507</v>
      </c>
      <c r="M188" s="62">
        <v>2.0</v>
      </c>
      <c r="N188" s="72" t="s">
        <v>537</v>
      </c>
      <c r="O188" s="69" t="s">
        <v>494</v>
      </c>
      <c r="P188" s="69" t="s">
        <v>495</v>
      </c>
      <c r="Q188" s="72" t="s">
        <v>538</v>
      </c>
      <c r="R188" s="69" t="s">
        <v>497</v>
      </c>
      <c r="S188" s="72" t="s">
        <v>593</v>
      </c>
      <c r="T188" s="72" t="s">
        <v>590</v>
      </c>
      <c r="U188" s="69" t="s">
        <v>497</v>
      </c>
      <c r="V188" s="69" t="s">
        <v>497</v>
      </c>
      <c r="W188" s="73" t="s">
        <v>701</v>
      </c>
      <c r="X188" s="74"/>
      <c r="Y188" s="74"/>
      <c r="Z188" s="74"/>
      <c r="AA188" s="74"/>
      <c r="AB188" s="74"/>
      <c r="AC188" s="74"/>
    </row>
    <row r="189" ht="15.75" customHeight="1">
      <c r="A189" s="62" t="s">
        <v>832</v>
      </c>
      <c r="B189" s="75" t="s">
        <v>312</v>
      </c>
      <c r="C189" s="62" t="s">
        <v>488</v>
      </c>
      <c r="D189" s="63">
        <v>1404.0</v>
      </c>
      <c r="E189" s="62" t="s">
        <v>489</v>
      </c>
      <c r="F189" s="63">
        <v>1404.0</v>
      </c>
      <c r="G189" s="64">
        <v>4.0</v>
      </c>
      <c r="H189" s="63">
        <v>700.0</v>
      </c>
      <c r="I189" s="62" t="s">
        <v>513</v>
      </c>
      <c r="J189" s="67">
        <v>6500.0</v>
      </c>
      <c r="K189" s="62" t="s">
        <v>514</v>
      </c>
      <c r="L189" s="62" t="s">
        <v>507</v>
      </c>
      <c r="M189" s="62">
        <v>2.0</v>
      </c>
      <c r="N189" s="65" t="s">
        <v>537</v>
      </c>
      <c r="O189" s="62" t="s">
        <v>586</v>
      </c>
      <c r="P189" s="62" t="s">
        <v>495</v>
      </c>
      <c r="Q189" s="66" t="s">
        <v>504</v>
      </c>
      <c r="R189" s="62" t="s">
        <v>497</v>
      </c>
      <c r="S189" s="65" t="s">
        <v>593</v>
      </c>
      <c r="T189" s="65" t="s">
        <v>574</v>
      </c>
      <c r="U189" s="62" t="s">
        <v>497</v>
      </c>
      <c r="V189" s="62" t="s">
        <v>497</v>
      </c>
      <c r="W189" s="64" t="s">
        <v>701</v>
      </c>
    </row>
    <row r="190" ht="15.75" customHeight="1">
      <c r="A190" s="62" t="s">
        <v>833</v>
      </c>
      <c r="B190" s="75" t="s">
        <v>312</v>
      </c>
      <c r="C190" s="62" t="s">
        <v>502</v>
      </c>
      <c r="D190" s="63">
        <v>1404.0</v>
      </c>
      <c r="E190" s="62" t="s">
        <v>375</v>
      </c>
      <c r="F190" s="63">
        <v>1404.0</v>
      </c>
      <c r="G190" s="64">
        <v>4.0</v>
      </c>
      <c r="H190" s="63">
        <v>700.0</v>
      </c>
      <c r="I190" s="62" t="s">
        <v>513</v>
      </c>
      <c r="J190" s="67">
        <v>6500.0</v>
      </c>
      <c r="K190" s="62" t="s">
        <v>514</v>
      </c>
      <c r="L190" s="62" t="s">
        <v>507</v>
      </c>
      <c r="M190" s="62">
        <v>2.0</v>
      </c>
      <c r="N190" s="65" t="s">
        <v>537</v>
      </c>
      <c r="O190" s="62" t="s">
        <v>586</v>
      </c>
      <c r="P190" s="62" t="s">
        <v>495</v>
      </c>
      <c r="Q190" s="66" t="s">
        <v>504</v>
      </c>
      <c r="R190" s="62" t="s">
        <v>497</v>
      </c>
      <c r="S190" s="65" t="s">
        <v>593</v>
      </c>
      <c r="T190" s="65" t="s">
        <v>574</v>
      </c>
      <c r="U190" s="62" t="s">
        <v>497</v>
      </c>
      <c r="V190" s="62" t="s">
        <v>497</v>
      </c>
      <c r="W190" s="64" t="s">
        <v>701</v>
      </c>
    </row>
    <row r="191" ht="15.75" customHeight="1">
      <c r="A191" s="62" t="s">
        <v>834</v>
      </c>
      <c r="B191" s="75" t="s">
        <v>314</v>
      </c>
      <c r="C191" s="69" t="s">
        <v>488</v>
      </c>
      <c r="D191" s="70">
        <v>2500.0</v>
      </c>
      <c r="E191" s="69" t="s">
        <v>489</v>
      </c>
      <c r="F191" s="70">
        <v>2500.0</v>
      </c>
      <c r="G191" s="71">
        <v>9.0</v>
      </c>
      <c r="H191" s="70">
        <v>1650.0</v>
      </c>
      <c r="I191" s="69" t="s">
        <v>700</v>
      </c>
      <c r="J191" s="67">
        <v>6500.0</v>
      </c>
      <c r="K191" s="69" t="s">
        <v>514</v>
      </c>
      <c r="L191" s="69" t="s">
        <v>507</v>
      </c>
      <c r="M191" s="62">
        <v>2.0</v>
      </c>
      <c r="N191" s="72" t="s">
        <v>537</v>
      </c>
      <c r="O191" s="69" t="s">
        <v>494</v>
      </c>
      <c r="P191" s="69" t="s">
        <v>495</v>
      </c>
      <c r="Q191" s="80" t="s">
        <v>556</v>
      </c>
      <c r="R191" s="69" t="s">
        <v>497</v>
      </c>
      <c r="S191" s="72" t="s">
        <v>593</v>
      </c>
      <c r="T191" s="72" t="s">
        <v>590</v>
      </c>
      <c r="U191" s="69" t="s">
        <v>497</v>
      </c>
      <c r="V191" s="69" t="s">
        <v>497</v>
      </c>
      <c r="W191" s="73" t="s">
        <v>701</v>
      </c>
      <c r="X191" s="74"/>
      <c r="Y191" s="74"/>
      <c r="Z191" s="74"/>
      <c r="AA191" s="74"/>
      <c r="AB191" s="74"/>
      <c r="AC191" s="74"/>
    </row>
    <row r="192" ht="15.75" customHeight="1">
      <c r="A192" s="62" t="s">
        <v>835</v>
      </c>
      <c r="B192" s="75" t="s">
        <v>314</v>
      </c>
      <c r="C192" s="69" t="s">
        <v>502</v>
      </c>
      <c r="D192" s="70">
        <v>2500.0</v>
      </c>
      <c r="E192" s="69" t="s">
        <v>375</v>
      </c>
      <c r="F192" s="70">
        <v>2500.0</v>
      </c>
      <c r="G192" s="71">
        <v>5.0</v>
      </c>
      <c r="H192" s="70">
        <v>960.0</v>
      </c>
      <c r="I192" s="69" t="s">
        <v>772</v>
      </c>
      <c r="J192" s="67">
        <v>6500.0</v>
      </c>
      <c r="K192" s="69" t="s">
        <v>514</v>
      </c>
      <c r="L192" s="69" t="s">
        <v>507</v>
      </c>
      <c r="M192" s="62">
        <v>2.0</v>
      </c>
      <c r="N192" s="72" t="s">
        <v>537</v>
      </c>
      <c r="O192" s="69" t="s">
        <v>494</v>
      </c>
      <c r="P192" s="69" t="s">
        <v>495</v>
      </c>
      <c r="Q192" s="80" t="s">
        <v>556</v>
      </c>
      <c r="R192" s="69" t="s">
        <v>497</v>
      </c>
      <c r="S192" s="72" t="s">
        <v>593</v>
      </c>
      <c r="T192" s="72" t="s">
        <v>590</v>
      </c>
      <c r="U192" s="69" t="s">
        <v>497</v>
      </c>
      <c r="V192" s="69" t="s">
        <v>497</v>
      </c>
      <c r="W192" s="73" t="s">
        <v>701</v>
      </c>
      <c r="X192" s="74"/>
      <c r="Y192" s="74"/>
      <c r="Z192" s="74"/>
      <c r="AA192" s="74"/>
      <c r="AB192" s="74"/>
      <c r="AC192" s="74"/>
    </row>
    <row r="193" ht="15.75" customHeight="1">
      <c r="A193" s="62" t="s">
        <v>836</v>
      </c>
      <c r="B193" s="75" t="s">
        <v>316</v>
      </c>
      <c r="C193" s="69" t="s">
        <v>488</v>
      </c>
      <c r="D193" s="70">
        <v>3748.0</v>
      </c>
      <c r="E193" s="69" t="s">
        <v>489</v>
      </c>
      <c r="F193" s="70">
        <v>3748.0</v>
      </c>
      <c r="G193" s="71">
        <v>8.0</v>
      </c>
      <c r="H193" s="70">
        <v>1500.0</v>
      </c>
      <c r="I193" s="69" t="s">
        <v>719</v>
      </c>
      <c r="J193" s="67">
        <v>6500.0</v>
      </c>
      <c r="K193" s="69" t="s">
        <v>566</v>
      </c>
      <c r="L193" s="69" t="s">
        <v>507</v>
      </c>
      <c r="M193" s="62">
        <v>2.0</v>
      </c>
      <c r="N193" s="72" t="s">
        <v>537</v>
      </c>
      <c r="O193" s="69" t="s">
        <v>494</v>
      </c>
      <c r="P193" s="69" t="s">
        <v>495</v>
      </c>
      <c r="Q193" s="80" t="s">
        <v>538</v>
      </c>
      <c r="R193" s="69" t="s">
        <v>497</v>
      </c>
      <c r="S193" s="72" t="s">
        <v>593</v>
      </c>
      <c r="T193" s="81" t="s">
        <v>837</v>
      </c>
      <c r="U193" s="69" t="s">
        <v>497</v>
      </c>
      <c r="V193" s="69" t="s">
        <v>497</v>
      </c>
      <c r="W193" s="73" t="s">
        <v>701</v>
      </c>
      <c r="X193" s="74"/>
      <c r="Y193" s="74"/>
      <c r="Z193" s="74"/>
      <c r="AA193" s="74"/>
      <c r="AB193" s="74"/>
      <c r="AC193" s="74"/>
    </row>
    <row r="194" ht="15.75" customHeight="1">
      <c r="A194" s="62" t="s">
        <v>838</v>
      </c>
      <c r="B194" s="75" t="s">
        <v>316</v>
      </c>
      <c r="C194" s="69" t="s">
        <v>502</v>
      </c>
      <c r="D194" s="70">
        <v>3748.0</v>
      </c>
      <c r="E194" s="69" t="s">
        <v>375</v>
      </c>
      <c r="F194" s="70">
        <v>3748.0</v>
      </c>
      <c r="G194" s="71">
        <v>6.0</v>
      </c>
      <c r="H194" s="70">
        <v>1200.0</v>
      </c>
      <c r="I194" s="69" t="s">
        <v>703</v>
      </c>
      <c r="J194" s="67">
        <v>6500.0</v>
      </c>
      <c r="K194" s="69" t="s">
        <v>566</v>
      </c>
      <c r="L194" s="69" t="s">
        <v>507</v>
      </c>
      <c r="M194" s="62">
        <v>2.0</v>
      </c>
      <c r="N194" s="72" t="s">
        <v>537</v>
      </c>
      <c r="O194" s="69" t="s">
        <v>494</v>
      </c>
      <c r="P194" s="69" t="s">
        <v>495</v>
      </c>
      <c r="Q194" s="80" t="s">
        <v>538</v>
      </c>
      <c r="R194" s="69" t="s">
        <v>497</v>
      </c>
      <c r="S194" s="72" t="s">
        <v>593</v>
      </c>
      <c r="T194" s="81" t="s">
        <v>837</v>
      </c>
      <c r="U194" s="69" t="s">
        <v>497</v>
      </c>
      <c r="V194" s="69" t="s">
        <v>497</v>
      </c>
      <c r="W194" s="73" t="s">
        <v>701</v>
      </c>
      <c r="X194" s="74"/>
      <c r="Y194" s="74"/>
      <c r="Z194" s="74"/>
      <c r="AA194" s="74"/>
      <c r="AB194" s="74"/>
      <c r="AC194" s="74"/>
    </row>
    <row r="195" ht="15.75" customHeight="1">
      <c r="A195" s="62" t="s">
        <v>839</v>
      </c>
      <c r="B195" s="75" t="s">
        <v>318</v>
      </c>
      <c r="C195" s="69" t="s">
        <v>488</v>
      </c>
      <c r="D195" s="67">
        <v>5625.0</v>
      </c>
      <c r="E195" s="69" t="s">
        <v>535</v>
      </c>
      <c r="F195" s="67">
        <v>5625.0</v>
      </c>
      <c r="G195" s="71">
        <v>19.0</v>
      </c>
      <c r="H195" s="70">
        <v>3500.0</v>
      </c>
      <c r="I195" s="69" t="s">
        <v>812</v>
      </c>
      <c r="J195" s="70">
        <v>6700.0</v>
      </c>
      <c r="K195" s="69" t="s">
        <v>514</v>
      </c>
      <c r="L195" s="69" t="s">
        <v>507</v>
      </c>
      <c r="M195" s="62">
        <v>2.0</v>
      </c>
      <c r="N195" s="72" t="s">
        <v>537</v>
      </c>
      <c r="O195" s="69" t="s">
        <v>494</v>
      </c>
      <c r="P195" s="69" t="s">
        <v>495</v>
      </c>
      <c r="Q195" s="80" t="s">
        <v>538</v>
      </c>
      <c r="R195" s="69" t="s">
        <v>497</v>
      </c>
      <c r="S195" s="72" t="s">
        <v>648</v>
      </c>
      <c r="T195" s="72" t="s">
        <v>590</v>
      </c>
      <c r="U195" s="69" t="s">
        <v>497</v>
      </c>
      <c r="V195" s="69" t="s">
        <v>497</v>
      </c>
      <c r="W195" s="73" t="s">
        <v>701</v>
      </c>
      <c r="X195" s="74"/>
      <c r="Y195" s="74"/>
      <c r="Z195" s="74"/>
      <c r="AA195" s="74"/>
      <c r="AB195" s="74"/>
      <c r="AC195" s="74"/>
    </row>
    <row r="196" ht="15.75" customHeight="1">
      <c r="A196" s="62" t="s">
        <v>840</v>
      </c>
      <c r="B196" s="75" t="s">
        <v>318</v>
      </c>
      <c r="C196" s="69" t="s">
        <v>502</v>
      </c>
      <c r="D196" s="67">
        <v>5625.0</v>
      </c>
      <c r="E196" s="69" t="s">
        <v>739</v>
      </c>
      <c r="F196" s="67">
        <v>5625.0</v>
      </c>
      <c r="G196" s="71">
        <v>19.0</v>
      </c>
      <c r="H196" s="70">
        <v>3500.0</v>
      </c>
      <c r="I196" s="69" t="s">
        <v>814</v>
      </c>
      <c r="J196" s="70">
        <v>6500.0</v>
      </c>
      <c r="K196" s="69" t="s">
        <v>514</v>
      </c>
      <c r="L196" s="69" t="s">
        <v>507</v>
      </c>
      <c r="M196" s="62">
        <v>2.0</v>
      </c>
      <c r="N196" s="72" t="s">
        <v>537</v>
      </c>
      <c r="O196" s="69" t="s">
        <v>494</v>
      </c>
      <c r="P196" s="69" t="s">
        <v>495</v>
      </c>
      <c r="Q196" s="80" t="s">
        <v>538</v>
      </c>
      <c r="R196" s="69" t="s">
        <v>497</v>
      </c>
      <c r="S196" s="72" t="s">
        <v>648</v>
      </c>
      <c r="T196" s="72" t="s">
        <v>590</v>
      </c>
      <c r="U196" s="69" t="s">
        <v>497</v>
      </c>
      <c r="V196" s="69" t="s">
        <v>497</v>
      </c>
      <c r="W196" s="73" t="s">
        <v>701</v>
      </c>
      <c r="X196" s="74"/>
      <c r="Y196" s="74"/>
      <c r="Z196" s="74"/>
      <c r="AA196" s="74"/>
      <c r="AB196" s="74"/>
      <c r="AC196" s="74"/>
    </row>
    <row r="197" ht="15.75" customHeight="1">
      <c r="A197" s="62" t="s">
        <v>841</v>
      </c>
      <c r="B197" s="75" t="s">
        <v>321</v>
      </c>
      <c r="C197" s="69" t="s">
        <v>488</v>
      </c>
      <c r="D197" s="67">
        <v>3744.0</v>
      </c>
      <c r="E197" s="69" t="s">
        <v>489</v>
      </c>
      <c r="F197" s="67">
        <v>3744.0</v>
      </c>
      <c r="G197" s="71">
        <v>8.0</v>
      </c>
      <c r="H197" s="70">
        <v>1500.0</v>
      </c>
      <c r="I197" s="69" t="s">
        <v>719</v>
      </c>
      <c r="J197" s="67">
        <v>6500.0</v>
      </c>
      <c r="K197" s="69" t="s">
        <v>566</v>
      </c>
      <c r="L197" s="69" t="s">
        <v>507</v>
      </c>
      <c r="M197" s="62">
        <v>2.0</v>
      </c>
      <c r="N197" s="72" t="s">
        <v>537</v>
      </c>
      <c r="O197" s="69" t="s">
        <v>494</v>
      </c>
      <c r="P197" s="69" t="s">
        <v>495</v>
      </c>
      <c r="Q197" s="72" t="s">
        <v>538</v>
      </c>
      <c r="R197" s="69" t="s">
        <v>497</v>
      </c>
      <c r="S197" s="72" t="s">
        <v>593</v>
      </c>
      <c r="T197" s="81" t="s">
        <v>837</v>
      </c>
      <c r="U197" s="69" t="s">
        <v>497</v>
      </c>
      <c r="V197" s="69" t="s">
        <v>497</v>
      </c>
      <c r="W197" s="73" t="s">
        <v>701</v>
      </c>
      <c r="X197" s="74"/>
      <c r="Y197" s="74"/>
      <c r="Z197" s="74"/>
      <c r="AA197" s="74"/>
      <c r="AB197" s="74"/>
      <c r="AC197" s="74"/>
    </row>
    <row r="198" ht="15.75" customHeight="1">
      <c r="A198" s="62" t="s">
        <v>842</v>
      </c>
      <c r="B198" s="75" t="s">
        <v>321</v>
      </c>
      <c r="C198" s="69" t="s">
        <v>502</v>
      </c>
      <c r="D198" s="67">
        <v>3744.0</v>
      </c>
      <c r="E198" s="69" t="s">
        <v>375</v>
      </c>
      <c r="F198" s="67">
        <v>3744.0</v>
      </c>
      <c r="G198" s="71">
        <v>6.0</v>
      </c>
      <c r="H198" s="70">
        <v>1200.0</v>
      </c>
      <c r="I198" s="69" t="s">
        <v>703</v>
      </c>
      <c r="J198" s="67">
        <v>6500.0</v>
      </c>
      <c r="K198" s="69" t="s">
        <v>566</v>
      </c>
      <c r="L198" s="69" t="s">
        <v>507</v>
      </c>
      <c r="M198" s="62">
        <v>2.0</v>
      </c>
      <c r="N198" s="72" t="s">
        <v>537</v>
      </c>
      <c r="O198" s="69" t="s">
        <v>494</v>
      </c>
      <c r="P198" s="69" t="s">
        <v>495</v>
      </c>
      <c r="Q198" s="72" t="s">
        <v>538</v>
      </c>
      <c r="R198" s="69" t="s">
        <v>497</v>
      </c>
      <c r="S198" s="72" t="s">
        <v>593</v>
      </c>
      <c r="T198" s="81" t="s">
        <v>837</v>
      </c>
      <c r="U198" s="69" t="s">
        <v>497</v>
      </c>
      <c r="V198" s="69" t="s">
        <v>497</v>
      </c>
      <c r="W198" s="73" t="s">
        <v>701</v>
      </c>
      <c r="X198" s="74"/>
      <c r="Y198" s="74"/>
      <c r="Z198" s="74"/>
      <c r="AA198" s="74"/>
      <c r="AB198" s="74"/>
      <c r="AC198" s="74"/>
    </row>
    <row r="199" ht="15.75" customHeight="1">
      <c r="A199" s="62" t="s">
        <v>843</v>
      </c>
      <c r="B199" s="75" t="s">
        <v>323</v>
      </c>
      <c r="C199" s="51" t="s">
        <v>488</v>
      </c>
      <c r="D199" s="63">
        <v>1560.0</v>
      </c>
      <c r="E199" s="62" t="s">
        <v>489</v>
      </c>
      <c r="F199" s="63">
        <v>1560.0</v>
      </c>
      <c r="G199" s="64">
        <v>4.0</v>
      </c>
      <c r="H199" s="63">
        <v>850.0</v>
      </c>
      <c r="I199" s="62" t="s">
        <v>506</v>
      </c>
      <c r="J199" s="63">
        <v>6500.0</v>
      </c>
      <c r="K199" s="62" t="s">
        <v>514</v>
      </c>
      <c r="L199" s="62" t="s">
        <v>507</v>
      </c>
      <c r="M199" s="62">
        <v>2.0</v>
      </c>
      <c r="N199" s="65" t="s">
        <v>537</v>
      </c>
      <c r="O199" s="62" t="s">
        <v>494</v>
      </c>
      <c r="P199" s="62" t="s">
        <v>495</v>
      </c>
      <c r="Q199" s="66" t="s">
        <v>538</v>
      </c>
      <c r="R199" s="62" t="s">
        <v>497</v>
      </c>
      <c r="S199" s="65" t="s">
        <v>648</v>
      </c>
      <c r="T199" s="65" t="s">
        <v>590</v>
      </c>
      <c r="U199" s="62" t="s">
        <v>497</v>
      </c>
      <c r="V199" s="62" t="s">
        <v>497</v>
      </c>
      <c r="W199" s="64" t="s">
        <v>701</v>
      </c>
      <c r="X199" s="74"/>
      <c r="Y199" s="74"/>
      <c r="Z199" s="74"/>
      <c r="AA199" s="74"/>
      <c r="AB199" s="74"/>
      <c r="AC199" s="74"/>
    </row>
    <row r="200" ht="15.75" customHeight="1">
      <c r="A200" s="62" t="s">
        <v>844</v>
      </c>
      <c r="B200" s="75" t="s">
        <v>323</v>
      </c>
      <c r="C200" s="51" t="s">
        <v>502</v>
      </c>
      <c r="D200" s="63">
        <v>1560.0</v>
      </c>
      <c r="E200" s="62" t="s">
        <v>375</v>
      </c>
      <c r="F200" s="63">
        <v>1560.0</v>
      </c>
      <c r="G200" s="64">
        <v>4.0</v>
      </c>
      <c r="H200" s="63">
        <v>720.0</v>
      </c>
      <c r="I200" s="62" t="s">
        <v>667</v>
      </c>
      <c r="J200" s="63">
        <v>6500.0</v>
      </c>
      <c r="K200" s="62" t="s">
        <v>514</v>
      </c>
      <c r="L200" s="62" t="s">
        <v>507</v>
      </c>
      <c r="M200" s="62">
        <v>2.0</v>
      </c>
      <c r="N200" s="65" t="s">
        <v>537</v>
      </c>
      <c r="O200" s="62" t="s">
        <v>494</v>
      </c>
      <c r="P200" s="62" t="s">
        <v>495</v>
      </c>
      <c r="Q200" s="66" t="s">
        <v>538</v>
      </c>
      <c r="R200" s="62" t="s">
        <v>497</v>
      </c>
      <c r="S200" s="65" t="s">
        <v>648</v>
      </c>
      <c r="T200" s="65" t="s">
        <v>590</v>
      </c>
      <c r="U200" s="62" t="s">
        <v>497</v>
      </c>
      <c r="V200" s="62" t="s">
        <v>497</v>
      </c>
      <c r="W200" s="64" t="s">
        <v>701</v>
      </c>
      <c r="X200" s="74"/>
      <c r="Y200" s="74"/>
      <c r="Z200" s="74"/>
      <c r="AA200" s="74"/>
      <c r="AB200" s="74"/>
      <c r="AC200" s="74"/>
    </row>
    <row r="201" ht="15.75" customHeight="1">
      <c r="A201" s="62" t="s">
        <v>845</v>
      </c>
      <c r="B201" s="75" t="s">
        <v>325</v>
      </c>
      <c r="C201" s="62" t="s">
        <v>488</v>
      </c>
      <c r="D201" s="63">
        <v>2500.0</v>
      </c>
      <c r="E201" s="62" t="s">
        <v>489</v>
      </c>
      <c r="F201" s="63">
        <v>2500.0</v>
      </c>
      <c r="G201" s="64">
        <v>9.0</v>
      </c>
      <c r="H201" s="63">
        <v>1650.0</v>
      </c>
      <c r="I201" s="62" t="s">
        <v>700</v>
      </c>
      <c r="J201" s="67">
        <v>6500.0</v>
      </c>
      <c r="K201" s="62" t="s">
        <v>514</v>
      </c>
      <c r="L201" s="62" t="s">
        <v>507</v>
      </c>
      <c r="M201" s="62">
        <v>2.0</v>
      </c>
      <c r="N201" s="65" t="s">
        <v>537</v>
      </c>
      <c r="O201" s="62" t="s">
        <v>494</v>
      </c>
      <c r="P201" s="62" t="s">
        <v>495</v>
      </c>
      <c r="Q201" s="66" t="s">
        <v>556</v>
      </c>
      <c r="R201" s="62" t="s">
        <v>497</v>
      </c>
      <c r="S201" s="65" t="s">
        <v>593</v>
      </c>
      <c r="T201" s="65" t="s">
        <v>590</v>
      </c>
      <c r="U201" s="62" t="s">
        <v>497</v>
      </c>
      <c r="V201" s="62" t="s">
        <v>497</v>
      </c>
      <c r="W201" s="64" t="s">
        <v>701</v>
      </c>
      <c r="X201" s="74"/>
      <c r="Y201" s="74"/>
      <c r="Z201" s="74"/>
      <c r="AA201" s="74"/>
      <c r="AB201" s="74"/>
      <c r="AC201" s="74"/>
    </row>
    <row r="202" ht="15.75" customHeight="1">
      <c r="A202" s="62" t="s">
        <v>846</v>
      </c>
      <c r="B202" s="75" t="s">
        <v>325</v>
      </c>
      <c r="C202" s="62" t="s">
        <v>502</v>
      </c>
      <c r="D202" s="63">
        <v>2500.0</v>
      </c>
      <c r="E202" s="62" t="s">
        <v>375</v>
      </c>
      <c r="F202" s="63">
        <v>2500.0</v>
      </c>
      <c r="G202" s="64">
        <v>5.0</v>
      </c>
      <c r="H202" s="63">
        <v>960.0</v>
      </c>
      <c r="I202" s="62" t="s">
        <v>772</v>
      </c>
      <c r="J202" s="67">
        <v>6500.0</v>
      </c>
      <c r="K202" s="62" t="s">
        <v>514</v>
      </c>
      <c r="L202" s="62" t="s">
        <v>507</v>
      </c>
      <c r="M202" s="62">
        <v>2.0</v>
      </c>
      <c r="N202" s="65" t="s">
        <v>537</v>
      </c>
      <c r="O202" s="62" t="s">
        <v>494</v>
      </c>
      <c r="P202" s="62" t="s">
        <v>495</v>
      </c>
      <c r="Q202" s="66" t="s">
        <v>556</v>
      </c>
      <c r="R202" s="62" t="s">
        <v>497</v>
      </c>
      <c r="S202" s="65" t="s">
        <v>593</v>
      </c>
      <c r="T202" s="65" t="s">
        <v>590</v>
      </c>
      <c r="U202" s="62" t="s">
        <v>497</v>
      </c>
      <c r="V202" s="62" t="s">
        <v>497</v>
      </c>
      <c r="W202" s="64" t="s">
        <v>701</v>
      </c>
    </row>
    <row r="203">
      <c r="A203" s="82" t="s">
        <v>811</v>
      </c>
      <c r="B203" s="82" t="s">
        <v>327</v>
      </c>
      <c r="C203" s="82" t="s">
        <v>488</v>
      </c>
      <c r="D203" s="83">
        <v>2500.0</v>
      </c>
      <c r="E203" s="82" t="s">
        <v>489</v>
      </c>
      <c r="F203" s="83">
        <v>2500.0</v>
      </c>
      <c r="G203" s="84">
        <v>11.0</v>
      </c>
      <c r="H203" s="83">
        <v>2000.0</v>
      </c>
      <c r="I203" s="82" t="s">
        <v>506</v>
      </c>
      <c r="J203" s="83">
        <v>6700.0</v>
      </c>
      <c r="K203" s="82" t="s">
        <v>566</v>
      </c>
      <c r="L203" s="82" t="s">
        <v>492</v>
      </c>
      <c r="M203" s="82">
        <v>2.0</v>
      </c>
      <c r="N203" s="85" t="s">
        <v>723</v>
      </c>
      <c r="O203" s="82" t="s">
        <v>494</v>
      </c>
      <c r="P203" s="82" t="s">
        <v>495</v>
      </c>
      <c r="Q203" s="86" t="s">
        <v>504</v>
      </c>
      <c r="R203" s="82" t="s">
        <v>497</v>
      </c>
      <c r="S203" s="85" t="s">
        <v>847</v>
      </c>
      <c r="T203" s="85" t="s">
        <v>574</v>
      </c>
      <c r="U203" s="82" t="s">
        <v>497</v>
      </c>
      <c r="V203" s="82" t="s">
        <v>497</v>
      </c>
      <c r="W203" s="84" t="s">
        <v>500</v>
      </c>
    </row>
    <row r="204" ht="15.75" customHeight="1">
      <c r="A204" s="82" t="s">
        <v>813</v>
      </c>
      <c r="B204" s="82" t="s">
        <v>327</v>
      </c>
      <c r="C204" s="82" t="s">
        <v>502</v>
      </c>
      <c r="D204" s="83">
        <v>2500.0</v>
      </c>
      <c r="E204" s="82" t="s">
        <v>503</v>
      </c>
      <c r="F204" s="83">
        <v>2500.0</v>
      </c>
      <c r="G204" s="84">
        <v>11.0</v>
      </c>
      <c r="H204" s="83">
        <v>2000.0</v>
      </c>
      <c r="I204" s="82" t="s">
        <v>506</v>
      </c>
      <c r="J204" s="83">
        <v>6700.0</v>
      </c>
      <c r="K204" s="82" t="s">
        <v>566</v>
      </c>
      <c r="L204" s="82" t="s">
        <v>492</v>
      </c>
      <c r="M204" s="82">
        <v>2.0</v>
      </c>
      <c r="N204" s="85" t="s">
        <v>723</v>
      </c>
      <c r="O204" s="82" t="s">
        <v>494</v>
      </c>
      <c r="P204" s="82" t="s">
        <v>495</v>
      </c>
      <c r="Q204" s="86" t="s">
        <v>504</v>
      </c>
      <c r="R204" s="82" t="s">
        <v>497</v>
      </c>
      <c r="S204" s="85" t="s">
        <v>847</v>
      </c>
      <c r="T204" s="85" t="s">
        <v>574</v>
      </c>
      <c r="U204" s="82" t="s">
        <v>497</v>
      </c>
      <c r="V204" s="82" t="s">
        <v>497</v>
      </c>
      <c r="W204" s="84" t="s">
        <v>500</v>
      </c>
    </row>
    <row r="205" ht="15.75" customHeight="1">
      <c r="A205" s="82" t="s">
        <v>815</v>
      </c>
      <c r="B205" s="82" t="s">
        <v>334</v>
      </c>
      <c r="C205" s="82" t="s">
        <v>488</v>
      </c>
      <c r="D205" s="83">
        <v>6000.0</v>
      </c>
      <c r="E205" s="82" t="s">
        <v>489</v>
      </c>
      <c r="F205" s="83">
        <v>6000.0</v>
      </c>
      <c r="G205" s="84">
        <v>23.0</v>
      </c>
      <c r="H205" s="83">
        <v>4200.0</v>
      </c>
      <c r="I205" s="82" t="s">
        <v>787</v>
      </c>
      <c r="J205" s="83">
        <v>6700.0</v>
      </c>
      <c r="K205" s="82" t="s">
        <v>566</v>
      </c>
      <c r="L205" s="82" t="s">
        <v>492</v>
      </c>
      <c r="M205" s="82">
        <v>2.0</v>
      </c>
      <c r="N205" s="85" t="s">
        <v>723</v>
      </c>
      <c r="O205" s="82" t="s">
        <v>494</v>
      </c>
      <c r="P205" s="82" t="s">
        <v>495</v>
      </c>
      <c r="Q205" s="86" t="s">
        <v>504</v>
      </c>
      <c r="R205" s="82" t="s">
        <v>497</v>
      </c>
      <c r="S205" s="85" t="s">
        <v>847</v>
      </c>
      <c r="T205" s="85" t="s">
        <v>574</v>
      </c>
      <c r="U205" s="82" t="s">
        <v>497</v>
      </c>
      <c r="V205" s="82" t="s">
        <v>497</v>
      </c>
      <c r="W205" s="84" t="s">
        <v>500</v>
      </c>
    </row>
    <row r="206" ht="15.75" customHeight="1">
      <c r="A206" s="82" t="s">
        <v>817</v>
      </c>
      <c r="B206" s="82" t="s">
        <v>334</v>
      </c>
      <c r="C206" s="82" t="s">
        <v>502</v>
      </c>
      <c r="D206" s="83">
        <v>6000.0</v>
      </c>
      <c r="E206" s="82" t="s">
        <v>503</v>
      </c>
      <c r="F206" s="83">
        <v>6000.0</v>
      </c>
      <c r="G206" s="84">
        <v>23.0</v>
      </c>
      <c r="H206" s="83">
        <v>4200.0</v>
      </c>
      <c r="I206" s="82" t="s">
        <v>787</v>
      </c>
      <c r="J206" s="83">
        <v>6500.0</v>
      </c>
      <c r="K206" s="82" t="s">
        <v>566</v>
      </c>
      <c r="L206" s="82" t="s">
        <v>492</v>
      </c>
      <c r="M206" s="82">
        <v>2.0</v>
      </c>
      <c r="N206" s="85" t="s">
        <v>723</v>
      </c>
      <c r="O206" s="82" t="s">
        <v>494</v>
      </c>
      <c r="P206" s="82" t="s">
        <v>495</v>
      </c>
      <c r="Q206" s="86" t="s">
        <v>504</v>
      </c>
      <c r="R206" s="82" t="s">
        <v>497</v>
      </c>
      <c r="S206" s="85" t="s">
        <v>847</v>
      </c>
      <c r="T206" s="85" t="s">
        <v>848</v>
      </c>
      <c r="U206" s="82" t="s">
        <v>497</v>
      </c>
      <c r="V206" s="82" t="s">
        <v>497</v>
      </c>
      <c r="W206" s="84" t="s">
        <v>500</v>
      </c>
    </row>
    <row r="207" ht="15.75" customHeight="1">
      <c r="A207" s="82" t="s">
        <v>818</v>
      </c>
      <c r="B207" s="82" t="s">
        <v>336</v>
      </c>
      <c r="C207" s="82" t="s">
        <v>488</v>
      </c>
      <c r="D207" s="83">
        <v>5000.0</v>
      </c>
      <c r="E207" s="82" t="s">
        <v>489</v>
      </c>
      <c r="F207" s="83">
        <v>5000.0</v>
      </c>
      <c r="G207" s="84">
        <v>19.0</v>
      </c>
      <c r="H207" s="83">
        <v>3500.0</v>
      </c>
      <c r="I207" s="82" t="s">
        <v>849</v>
      </c>
      <c r="J207" s="83">
        <v>6700.0</v>
      </c>
      <c r="K207" s="82" t="s">
        <v>566</v>
      </c>
      <c r="L207" s="82" t="s">
        <v>492</v>
      </c>
      <c r="M207" s="82">
        <v>2.0</v>
      </c>
      <c r="N207" s="85" t="s">
        <v>723</v>
      </c>
      <c r="O207" s="82" t="s">
        <v>494</v>
      </c>
      <c r="P207" s="82" t="s">
        <v>495</v>
      </c>
      <c r="Q207" s="86" t="s">
        <v>504</v>
      </c>
      <c r="R207" s="82" t="s">
        <v>497</v>
      </c>
      <c r="S207" s="85" t="s">
        <v>847</v>
      </c>
      <c r="T207" s="85" t="s">
        <v>848</v>
      </c>
      <c r="U207" s="82" t="s">
        <v>497</v>
      </c>
      <c r="V207" s="82" t="s">
        <v>497</v>
      </c>
      <c r="W207" s="84" t="s">
        <v>500</v>
      </c>
    </row>
    <row r="208" ht="15.75" customHeight="1">
      <c r="A208" s="82" t="s">
        <v>820</v>
      </c>
      <c r="B208" s="82" t="s">
        <v>336</v>
      </c>
      <c r="C208" s="82" t="s">
        <v>502</v>
      </c>
      <c r="D208" s="83">
        <v>5000.0</v>
      </c>
      <c r="E208" s="82" t="s">
        <v>503</v>
      </c>
      <c r="F208" s="83">
        <v>5000.0</v>
      </c>
      <c r="G208" s="84">
        <v>19.0</v>
      </c>
      <c r="H208" s="83">
        <v>3500.0</v>
      </c>
      <c r="I208" s="82" t="s">
        <v>849</v>
      </c>
      <c r="J208" s="83">
        <v>6500.0</v>
      </c>
      <c r="K208" s="82" t="s">
        <v>566</v>
      </c>
      <c r="L208" s="82" t="s">
        <v>492</v>
      </c>
      <c r="M208" s="82">
        <v>2.0</v>
      </c>
      <c r="N208" s="85" t="s">
        <v>723</v>
      </c>
      <c r="O208" s="82" t="s">
        <v>494</v>
      </c>
      <c r="P208" s="82" t="s">
        <v>495</v>
      </c>
      <c r="Q208" s="86" t="s">
        <v>504</v>
      </c>
      <c r="R208" s="82" t="s">
        <v>497</v>
      </c>
      <c r="S208" s="85" t="s">
        <v>847</v>
      </c>
      <c r="T208" s="85" t="s">
        <v>848</v>
      </c>
      <c r="U208" s="82" t="s">
        <v>497</v>
      </c>
      <c r="V208" s="82" t="s">
        <v>497</v>
      </c>
      <c r="W208" s="84" t="s">
        <v>500</v>
      </c>
    </row>
    <row r="209" ht="15.75" customHeight="1">
      <c r="A209" s="82" t="s">
        <v>822</v>
      </c>
      <c r="B209" s="82" t="s">
        <v>338</v>
      </c>
      <c r="C209" s="82" t="s">
        <v>488</v>
      </c>
      <c r="D209" s="83">
        <v>5000.0</v>
      </c>
      <c r="E209" s="82" t="s">
        <v>489</v>
      </c>
      <c r="F209" s="83">
        <v>5000.0</v>
      </c>
      <c r="G209" s="84">
        <v>19.0</v>
      </c>
      <c r="H209" s="83">
        <v>3500.0</v>
      </c>
      <c r="I209" s="82" t="s">
        <v>849</v>
      </c>
      <c r="J209" s="83">
        <v>6700.0</v>
      </c>
      <c r="K209" s="82" t="s">
        <v>566</v>
      </c>
      <c r="L209" s="82" t="s">
        <v>492</v>
      </c>
      <c r="M209" s="82">
        <v>2.0</v>
      </c>
      <c r="N209" s="85" t="s">
        <v>723</v>
      </c>
      <c r="O209" s="82" t="s">
        <v>494</v>
      </c>
      <c r="P209" s="82" t="s">
        <v>495</v>
      </c>
      <c r="Q209" s="86" t="s">
        <v>504</v>
      </c>
      <c r="R209" s="82" t="s">
        <v>497</v>
      </c>
      <c r="S209" s="85" t="s">
        <v>847</v>
      </c>
      <c r="T209" s="85" t="s">
        <v>848</v>
      </c>
      <c r="U209" s="82" t="s">
        <v>497</v>
      </c>
      <c r="V209" s="82" t="s">
        <v>497</v>
      </c>
      <c r="W209" s="84" t="s">
        <v>500</v>
      </c>
    </row>
    <row r="210">
      <c r="A210" s="82" t="s">
        <v>823</v>
      </c>
      <c r="B210" s="82" t="s">
        <v>338</v>
      </c>
      <c r="C210" s="82" t="s">
        <v>502</v>
      </c>
      <c r="D210" s="83">
        <v>5000.0</v>
      </c>
      <c r="E210" s="82" t="s">
        <v>489</v>
      </c>
      <c r="F210" s="83">
        <v>5000.0</v>
      </c>
      <c r="G210" s="84">
        <v>19.0</v>
      </c>
      <c r="H210" s="83">
        <v>3500.0</v>
      </c>
      <c r="I210" s="82" t="s">
        <v>849</v>
      </c>
      <c r="J210" s="83">
        <v>6700.0</v>
      </c>
      <c r="K210" s="82" t="s">
        <v>566</v>
      </c>
      <c r="L210" s="82" t="s">
        <v>492</v>
      </c>
      <c r="M210" s="82">
        <v>2.0</v>
      </c>
      <c r="N210" s="85" t="s">
        <v>723</v>
      </c>
      <c r="O210" s="82" t="s">
        <v>494</v>
      </c>
      <c r="P210" s="82" t="s">
        <v>495</v>
      </c>
      <c r="Q210" s="86" t="s">
        <v>504</v>
      </c>
      <c r="R210" s="82" t="s">
        <v>497</v>
      </c>
      <c r="S210" s="85" t="s">
        <v>847</v>
      </c>
      <c r="T210" s="85" t="s">
        <v>848</v>
      </c>
      <c r="U210" s="82" t="s">
        <v>497</v>
      </c>
      <c r="V210" s="82" t="s">
        <v>497</v>
      </c>
      <c r="W210" s="84" t="s">
        <v>500</v>
      </c>
    </row>
    <row r="211">
      <c r="A211" s="82" t="s">
        <v>824</v>
      </c>
      <c r="B211" s="82" t="s">
        <v>340</v>
      </c>
      <c r="C211" s="82" t="s">
        <v>488</v>
      </c>
      <c r="D211" s="83">
        <v>2000.0</v>
      </c>
      <c r="E211" s="82" t="s">
        <v>489</v>
      </c>
      <c r="F211" s="83">
        <v>2000.0</v>
      </c>
      <c r="G211" s="84">
        <v>7.0</v>
      </c>
      <c r="H211" s="83">
        <v>1400.0</v>
      </c>
      <c r="I211" s="82" t="s">
        <v>850</v>
      </c>
      <c r="J211" s="83">
        <v>6700.0</v>
      </c>
      <c r="K211" s="82" t="s">
        <v>566</v>
      </c>
      <c r="L211" s="82" t="s">
        <v>492</v>
      </c>
      <c r="M211" s="82">
        <v>2.0</v>
      </c>
      <c r="N211" s="85" t="s">
        <v>723</v>
      </c>
      <c r="O211" s="82" t="s">
        <v>494</v>
      </c>
      <c r="P211" s="82" t="s">
        <v>495</v>
      </c>
      <c r="Q211" s="86" t="s">
        <v>504</v>
      </c>
      <c r="R211" s="82" t="s">
        <v>497</v>
      </c>
      <c r="S211" s="85" t="s">
        <v>847</v>
      </c>
      <c r="T211" s="85" t="s">
        <v>665</v>
      </c>
      <c r="U211" s="82" t="s">
        <v>497</v>
      </c>
      <c r="V211" s="82" t="s">
        <v>497</v>
      </c>
      <c r="W211" s="84" t="s">
        <v>500</v>
      </c>
    </row>
    <row r="212">
      <c r="A212" s="82" t="s">
        <v>825</v>
      </c>
      <c r="B212" s="82" t="s">
        <v>340</v>
      </c>
      <c r="C212" s="82" t="s">
        <v>502</v>
      </c>
      <c r="D212" s="83">
        <v>2000.0</v>
      </c>
      <c r="E212" s="82" t="s">
        <v>503</v>
      </c>
      <c r="F212" s="83">
        <v>2000.0</v>
      </c>
      <c r="G212" s="84">
        <v>7.0</v>
      </c>
      <c r="H212" s="83">
        <v>1400.0</v>
      </c>
      <c r="I212" s="82" t="s">
        <v>850</v>
      </c>
      <c r="J212" s="83">
        <v>6500.0</v>
      </c>
      <c r="K212" s="82" t="s">
        <v>566</v>
      </c>
      <c r="L212" s="82" t="s">
        <v>492</v>
      </c>
      <c r="M212" s="82">
        <v>2.0</v>
      </c>
      <c r="N212" s="85" t="s">
        <v>723</v>
      </c>
      <c r="O212" s="82" t="s">
        <v>494</v>
      </c>
      <c r="P212" s="82" t="s">
        <v>495</v>
      </c>
      <c r="Q212" s="86" t="s">
        <v>504</v>
      </c>
      <c r="R212" s="82" t="s">
        <v>497</v>
      </c>
      <c r="S212" s="85" t="s">
        <v>847</v>
      </c>
      <c r="T212" s="85" t="s">
        <v>665</v>
      </c>
      <c r="U212" s="82" t="s">
        <v>497</v>
      </c>
      <c r="V212" s="82" t="s">
        <v>497</v>
      </c>
      <c r="W212" s="84" t="s">
        <v>500</v>
      </c>
    </row>
    <row r="213">
      <c r="A213" s="82" t="s">
        <v>826</v>
      </c>
      <c r="B213" s="82" t="s">
        <v>342</v>
      </c>
      <c r="C213" s="82" t="s">
        <v>488</v>
      </c>
      <c r="D213" s="83">
        <v>9000.0</v>
      </c>
      <c r="E213" s="82" t="s">
        <v>489</v>
      </c>
      <c r="F213" s="83">
        <v>9000.0</v>
      </c>
      <c r="G213" s="84">
        <v>37.0</v>
      </c>
      <c r="H213" s="83">
        <v>6750.0</v>
      </c>
      <c r="I213" s="82" t="s">
        <v>851</v>
      </c>
      <c r="J213" s="83">
        <v>6700.0</v>
      </c>
      <c r="K213" s="82" t="s">
        <v>566</v>
      </c>
      <c r="L213" s="82" t="s">
        <v>492</v>
      </c>
      <c r="M213" s="82">
        <v>2.0</v>
      </c>
      <c r="N213" s="85" t="s">
        <v>723</v>
      </c>
      <c r="O213" s="82" t="s">
        <v>494</v>
      </c>
      <c r="P213" s="82" t="s">
        <v>495</v>
      </c>
      <c r="Q213" s="86" t="s">
        <v>504</v>
      </c>
      <c r="R213" s="82" t="s">
        <v>497</v>
      </c>
      <c r="S213" s="85" t="s">
        <v>847</v>
      </c>
      <c r="T213" s="85" t="s">
        <v>665</v>
      </c>
      <c r="U213" s="82" t="s">
        <v>497</v>
      </c>
      <c r="V213" s="82" t="s">
        <v>497</v>
      </c>
      <c r="W213" s="84" t="s">
        <v>500</v>
      </c>
    </row>
    <row r="214">
      <c r="A214" s="82" t="s">
        <v>827</v>
      </c>
      <c r="B214" s="82" t="s">
        <v>342</v>
      </c>
      <c r="C214" s="82" t="s">
        <v>502</v>
      </c>
      <c r="D214" s="83">
        <v>9000.0</v>
      </c>
      <c r="E214" s="82" t="s">
        <v>503</v>
      </c>
      <c r="F214" s="83">
        <v>9000.0</v>
      </c>
      <c r="G214" s="84">
        <v>37.0</v>
      </c>
      <c r="H214" s="83">
        <v>6750.0</v>
      </c>
      <c r="I214" s="82" t="s">
        <v>851</v>
      </c>
      <c r="J214" s="83">
        <v>6500.0</v>
      </c>
      <c r="K214" s="82" t="s">
        <v>566</v>
      </c>
      <c r="L214" s="82" t="s">
        <v>492</v>
      </c>
      <c r="M214" s="82">
        <v>2.0</v>
      </c>
      <c r="N214" s="85" t="s">
        <v>723</v>
      </c>
      <c r="O214" s="82" t="s">
        <v>494</v>
      </c>
      <c r="P214" s="82" t="s">
        <v>495</v>
      </c>
      <c r="Q214" s="86" t="s">
        <v>504</v>
      </c>
      <c r="R214" s="82" t="s">
        <v>497</v>
      </c>
      <c r="S214" s="85" t="s">
        <v>847</v>
      </c>
      <c r="T214" s="85" t="s">
        <v>665</v>
      </c>
      <c r="U214" s="82" t="s">
        <v>497</v>
      </c>
      <c r="V214" s="82" t="s">
        <v>497</v>
      </c>
      <c r="W214" s="84" t="s">
        <v>500</v>
      </c>
    </row>
    <row r="215">
      <c r="A215" s="82" t="s">
        <v>828</v>
      </c>
      <c r="B215" s="82" t="s">
        <v>344</v>
      </c>
      <c r="C215" s="82" t="s">
        <v>488</v>
      </c>
      <c r="D215" s="83">
        <v>3000.0</v>
      </c>
      <c r="E215" s="82" t="s">
        <v>489</v>
      </c>
      <c r="F215" s="83">
        <v>3000.0</v>
      </c>
      <c r="G215" s="84">
        <v>13.0</v>
      </c>
      <c r="H215" s="83">
        <v>2400.0</v>
      </c>
      <c r="I215" s="82" t="s">
        <v>506</v>
      </c>
      <c r="J215" s="83">
        <v>6700.0</v>
      </c>
      <c r="K215" s="82" t="s">
        <v>566</v>
      </c>
      <c r="L215" s="82" t="s">
        <v>492</v>
      </c>
      <c r="M215" s="82">
        <v>2.0</v>
      </c>
      <c r="N215" s="85" t="s">
        <v>723</v>
      </c>
      <c r="O215" s="82" t="s">
        <v>494</v>
      </c>
      <c r="P215" s="82" t="s">
        <v>495</v>
      </c>
      <c r="Q215" s="86" t="s">
        <v>504</v>
      </c>
      <c r="R215" s="82" t="s">
        <v>497</v>
      </c>
      <c r="S215" s="85" t="s">
        <v>847</v>
      </c>
      <c r="T215" s="85" t="s">
        <v>665</v>
      </c>
      <c r="U215" s="82" t="s">
        <v>497</v>
      </c>
      <c r="V215" s="82" t="s">
        <v>497</v>
      </c>
      <c r="W215" s="84" t="s">
        <v>500</v>
      </c>
    </row>
    <row r="216">
      <c r="A216" s="82" t="s">
        <v>829</v>
      </c>
      <c r="B216" s="82" t="s">
        <v>344</v>
      </c>
      <c r="C216" s="82" t="s">
        <v>502</v>
      </c>
      <c r="D216" s="83">
        <v>3000.0</v>
      </c>
      <c r="E216" s="82" t="s">
        <v>503</v>
      </c>
      <c r="F216" s="83">
        <v>3000.0</v>
      </c>
      <c r="G216" s="84">
        <v>13.0</v>
      </c>
      <c r="H216" s="83">
        <v>2400.0</v>
      </c>
      <c r="I216" s="82" t="s">
        <v>506</v>
      </c>
      <c r="J216" s="83">
        <v>6500.0</v>
      </c>
      <c r="K216" s="82" t="s">
        <v>566</v>
      </c>
      <c r="L216" s="82" t="s">
        <v>492</v>
      </c>
      <c r="M216" s="82">
        <v>2.0</v>
      </c>
      <c r="N216" s="85" t="s">
        <v>723</v>
      </c>
      <c r="O216" s="82" t="s">
        <v>494</v>
      </c>
      <c r="P216" s="82" t="s">
        <v>495</v>
      </c>
      <c r="Q216" s="86" t="s">
        <v>504</v>
      </c>
      <c r="R216" s="82" t="s">
        <v>497</v>
      </c>
      <c r="S216" s="85" t="s">
        <v>847</v>
      </c>
      <c r="T216" s="85" t="s">
        <v>665</v>
      </c>
      <c r="U216" s="82" t="s">
        <v>497</v>
      </c>
      <c r="V216" s="82" t="s">
        <v>497</v>
      </c>
      <c r="W216" s="84" t="s">
        <v>500</v>
      </c>
    </row>
    <row r="217">
      <c r="A217" s="82" t="s">
        <v>830</v>
      </c>
      <c r="B217" s="82" t="s">
        <v>346</v>
      </c>
      <c r="C217" s="82" t="s">
        <v>488</v>
      </c>
      <c r="D217" s="83">
        <v>3000.0</v>
      </c>
      <c r="E217" s="82" t="s">
        <v>489</v>
      </c>
      <c r="F217" s="83">
        <v>3000.0</v>
      </c>
      <c r="G217" s="84">
        <v>13.0</v>
      </c>
      <c r="H217" s="83">
        <v>2400.0</v>
      </c>
      <c r="I217" s="82" t="s">
        <v>852</v>
      </c>
      <c r="J217" s="83">
        <v>6700.0</v>
      </c>
      <c r="K217" s="82" t="s">
        <v>566</v>
      </c>
      <c r="L217" s="82" t="s">
        <v>492</v>
      </c>
      <c r="M217" s="82">
        <v>2.0</v>
      </c>
      <c r="N217" s="85" t="s">
        <v>723</v>
      </c>
      <c r="O217" s="82" t="s">
        <v>494</v>
      </c>
      <c r="P217" s="82" t="s">
        <v>495</v>
      </c>
      <c r="Q217" s="86" t="s">
        <v>504</v>
      </c>
      <c r="R217" s="82" t="s">
        <v>497</v>
      </c>
      <c r="S217" s="85" t="s">
        <v>847</v>
      </c>
      <c r="T217" s="85" t="s">
        <v>853</v>
      </c>
      <c r="U217" s="82" t="s">
        <v>497</v>
      </c>
      <c r="V217" s="82" t="s">
        <v>497</v>
      </c>
      <c r="W217" s="84" t="s">
        <v>500</v>
      </c>
    </row>
    <row r="218">
      <c r="A218" s="82" t="s">
        <v>831</v>
      </c>
      <c r="B218" s="82" t="s">
        <v>346</v>
      </c>
      <c r="C218" s="82" t="s">
        <v>502</v>
      </c>
      <c r="D218" s="83">
        <v>3000.0</v>
      </c>
      <c r="E218" s="82" t="s">
        <v>503</v>
      </c>
      <c r="F218" s="83">
        <v>3000.0</v>
      </c>
      <c r="G218" s="84">
        <v>13.0</v>
      </c>
      <c r="H218" s="83">
        <v>2400.0</v>
      </c>
      <c r="I218" s="82" t="s">
        <v>852</v>
      </c>
      <c r="J218" s="83">
        <v>6500.0</v>
      </c>
      <c r="K218" s="82" t="s">
        <v>566</v>
      </c>
      <c r="L218" s="82" t="s">
        <v>492</v>
      </c>
      <c r="M218" s="82">
        <v>2.0</v>
      </c>
      <c r="N218" s="85" t="s">
        <v>723</v>
      </c>
      <c r="O218" s="82" t="s">
        <v>494</v>
      </c>
      <c r="P218" s="82" t="s">
        <v>495</v>
      </c>
      <c r="Q218" s="86" t="s">
        <v>504</v>
      </c>
      <c r="R218" s="82" t="s">
        <v>497</v>
      </c>
      <c r="S218" s="85" t="s">
        <v>847</v>
      </c>
      <c r="T218" s="85" t="s">
        <v>853</v>
      </c>
      <c r="U218" s="82" t="s">
        <v>497</v>
      </c>
      <c r="V218" s="82" t="s">
        <v>497</v>
      </c>
      <c r="W218" s="84" t="s">
        <v>500</v>
      </c>
    </row>
    <row r="219">
      <c r="A219" s="82" t="s">
        <v>832</v>
      </c>
      <c r="B219" s="82" t="s">
        <v>348</v>
      </c>
      <c r="C219" s="82" t="s">
        <v>488</v>
      </c>
      <c r="D219" s="83">
        <v>8700.0</v>
      </c>
      <c r="E219" s="82" t="s">
        <v>489</v>
      </c>
      <c r="F219" s="83">
        <v>8700.0</v>
      </c>
      <c r="G219" s="84">
        <v>38.0</v>
      </c>
      <c r="H219" s="83">
        <v>6960.0</v>
      </c>
      <c r="I219" s="82" t="s">
        <v>854</v>
      </c>
      <c r="J219" s="83">
        <v>6700.0</v>
      </c>
      <c r="K219" s="82" t="s">
        <v>566</v>
      </c>
      <c r="L219" s="82" t="s">
        <v>492</v>
      </c>
      <c r="M219" s="82">
        <v>2.0</v>
      </c>
      <c r="N219" s="85" t="s">
        <v>723</v>
      </c>
      <c r="O219" s="82" t="s">
        <v>494</v>
      </c>
      <c r="P219" s="82" t="s">
        <v>495</v>
      </c>
      <c r="Q219" s="86" t="s">
        <v>504</v>
      </c>
      <c r="R219" s="82" t="s">
        <v>497</v>
      </c>
      <c r="S219" s="85" t="s">
        <v>847</v>
      </c>
      <c r="T219" s="85" t="s">
        <v>665</v>
      </c>
      <c r="U219" s="82" t="s">
        <v>497</v>
      </c>
      <c r="V219" s="82" t="s">
        <v>497</v>
      </c>
      <c r="W219" s="84" t="s">
        <v>500</v>
      </c>
    </row>
    <row r="220">
      <c r="A220" s="82" t="s">
        <v>833</v>
      </c>
      <c r="B220" s="82" t="s">
        <v>348</v>
      </c>
      <c r="C220" s="82" t="s">
        <v>502</v>
      </c>
      <c r="D220" s="83">
        <v>8700.0</v>
      </c>
      <c r="E220" s="82" t="s">
        <v>503</v>
      </c>
      <c r="F220" s="83">
        <v>8700.0</v>
      </c>
      <c r="G220" s="84">
        <v>38.0</v>
      </c>
      <c r="H220" s="83">
        <v>6960.0</v>
      </c>
      <c r="I220" s="82" t="s">
        <v>854</v>
      </c>
      <c r="J220" s="83">
        <v>6500.0</v>
      </c>
      <c r="K220" s="82" t="s">
        <v>566</v>
      </c>
      <c r="L220" s="82" t="s">
        <v>492</v>
      </c>
      <c r="M220" s="82">
        <v>2.0</v>
      </c>
      <c r="N220" s="85" t="s">
        <v>723</v>
      </c>
      <c r="O220" s="82" t="s">
        <v>494</v>
      </c>
      <c r="P220" s="82" t="s">
        <v>495</v>
      </c>
      <c r="Q220" s="86" t="s">
        <v>504</v>
      </c>
      <c r="R220" s="82" t="s">
        <v>497</v>
      </c>
      <c r="S220" s="85" t="s">
        <v>847</v>
      </c>
      <c r="T220" s="85" t="s">
        <v>665</v>
      </c>
      <c r="U220" s="82" t="s">
        <v>497</v>
      </c>
      <c r="V220" s="82" t="s">
        <v>497</v>
      </c>
      <c r="W220" s="84" t="s">
        <v>500</v>
      </c>
    </row>
    <row r="221">
      <c r="A221" s="82" t="s">
        <v>834</v>
      </c>
      <c r="B221" s="82" t="s">
        <v>349</v>
      </c>
      <c r="C221" s="82" t="s">
        <v>488</v>
      </c>
      <c r="D221" s="83">
        <v>2500.0</v>
      </c>
      <c r="E221" s="82" t="s">
        <v>489</v>
      </c>
      <c r="F221" s="83">
        <v>2500.0</v>
      </c>
      <c r="G221" s="84">
        <v>11.0</v>
      </c>
      <c r="H221" s="83">
        <v>2000.0</v>
      </c>
      <c r="I221" s="82" t="s">
        <v>855</v>
      </c>
      <c r="J221" s="83">
        <v>6700.0</v>
      </c>
      <c r="K221" s="82" t="s">
        <v>566</v>
      </c>
      <c r="L221" s="82" t="s">
        <v>492</v>
      </c>
      <c r="M221" s="82">
        <v>2.0</v>
      </c>
      <c r="N221" s="85" t="s">
        <v>723</v>
      </c>
      <c r="O221" s="82" t="s">
        <v>494</v>
      </c>
      <c r="P221" s="82" t="s">
        <v>495</v>
      </c>
      <c r="Q221" s="86" t="s">
        <v>504</v>
      </c>
      <c r="R221" s="82" t="s">
        <v>497</v>
      </c>
      <c r="S221" s="85" t="s">
        <v>847</v>
      </c>
      <c r="T221" s="85" t="s">
        <v>665</v>
      </c>
      <c r="U221" s="82" t="s">
        <v>497</v>
      </c>
      <c r="V221" s="82" t="s">
        <v>497</v>
      </c>
      <c r="W221" s="84" t="s">
        <v>500</v>
      </c>
    </row>
    <row r="222" ht="15.75" customHeight="1">
      <c r="A222" s="82" t="s">
        <v>835</v>
      </c>
      <c r="B222" s="82" t="s">
        <v>349</v>
      </c>
      <c r="C222" s="82" t="s">
        <v>502</v>
      </c>
      <c r="D222" s="83">
        <v>2500.0</v>
      </c>
      <c r="E222" s="82" t="s">
        <v>503</v>
      </c>
      <c r="F222" s="83">
        <v>2500.0</v>
      </c>
      <c r="G222" s="84">
        <v>11.0</v>
      </c>
      <c r="H222" s="83">
        <v>2000.0</v>
      </c>
      <c r="I222" s="82" t="s">
        <v>855</v>
      </c>
      <c r="J222" s="83">
        <v>6500.0</v>
      </c>
      <c r="K222" s="82" t="s">
        <v>566</v>
      </c>
      <c r="L222" s="82" t="s">
        <v>492</v>
      </c>
      <c r="M222" s="82">
        <v>2.0</v>
      </c>
      <c r="N222" s="85" t="s">
        <v>723</v>
      </c>
      <c r="O222" s="82" t="s">
        <v>494</v>
      </c>
      <c r="P222" s="82" t="s">
        <v>495</v>
      </c>
      <c r="Q222" s="86" t="s">
        <v>504</v>
      </c>
      <c r="R222" s="82" t="s">
        <v>497</v>
      </c>
      <c r="S222" s="85" t="s">
        <v>847</v>
      </c>
      <c r="T222" s="85" t="s">
        <v>665</v>
      </c>
      <c r="U222" s="82" t="s">
        <v>497</v>
      </c>
      <c r="V222" s="82" t="s">
        <v>497</v>
      </c>
      <c r="W222" s="84" t="s">
        <v>500</v>
      </c>
    </row>
    <row r="223" ht="15.75" customHeight="1">
      <c r="A223" s="82" t="s">
        <v>836</v>
      </c>
      <c r="B223" s="82" t="s">
        <v>351</v>
      </c>
      <c r="C223" s="82" t="s">
        <v>488</v>
      </c>
      <c r="D223" s="83">
        <v>3200.0</v>
      </c>
      <c r="E223" s="82" t="s">
        <v>535</v>
      </c>
      <c r="F223" s="83">
        <v>3200.0</v>
      </c>
      <c r="G223" s="84">
        <v>10.0</v>
      </c>
      <c r="H223" s="83">
        <v>1800.0</v>
      </c>
      <c r="I223" s="82" t="s">
        <v>856</v>
      </c>
      <c r="J223" s="83">
        <v>6900.0</v>
      </c>
      <c r="K223" s="82" t="s">
        <v>514</v>
      </c>
      <c r="L223" s="82" t="s">
        <v>492</v>
      </c>
      <c r="M223" s="82">
        <v>2.0</v>
      </c>
      <c r="N223" s="85" t="s">
        <v>723</v>
      </c>
      <c r="O223" s="82" t="s">
        <v>494</v>
      </c>
      <c r="P223" s="82" t="s">
        <v>495</v>
      </c>
      <c r="Q223" s="86" t="s">
        <v>857</v>
      </c>
      <c r="R223" s="82" t="s">
        <v>497</v>
      </c>
      <c r="S223" s="85" t="s">
        <v>604</v>
      </c>
      <c r="T223" s="85" t="s">
        <v>858</v>
      </c>
      <c r="U223" s="82" t="s">
        <v>497</v>
      </c>
      <c r="V223" s="82" t="s">
        <v>497</v>
      </c>
      <c r="W223" s="84" t="s">
        <v>500</v>
      </c>
    </row>
    <row r="224" ht="15.75" customHeight="1">
      <c r="A224" s="82" t="s">
        <v>838</v>
      </c>
      <c r="B224" s="82" t="s">
        <v>351</v>
      </c>
      <c r="C224" s="82" t="s">
        <v>502</v>
      </c>
      <c r="D224" s="83">
        <v>3200.0</v>
      </c>
      <c r="E224" s="82" t="s">
        <v>596</v>
      </c>
      <c r="F224" s="83">
        <v>3200.0</v>
      </c>
      <c r="G224" s="84">
        <v>10.0</v>
      </c>
      <c r="H224" s="83">
        <v>1800.0</v>
      </c>
      <c r="I224" s="82" t="s">
        <v>856</v>
      </c>
      <c r="J224" s="83">
        <v>6500.0</v>
      </c>
      <c r="K224" s="82" t="s">
        <v>514</v>
      </c>
      <c r="L224" s="82" t="s">
        <v>492</v>
      </c>
      <c r="M224" s="82">
        <v>2.0</v>
      </c>
      <c r="N224" s="85" t="s">
        <v>723</v>
      </c>
      <c r="O224" s="82" t="s">
        <v>494</v>
      </c>
      <c r="P224" s="82" t="s">
        <v>495</v>
      </c>
      <c r="Q224" s="86" t="s">
        <v>857</v>
      </c>
      <c r="R224" s="82" t="s">
        <v>497</v>
      </c>
      <c r="S224" s="85" t="s">
        <v>604</v>
      </c>
      <c r="T224" s="85" t="s">
        <v>858</v>
      </c>
      <c r="U224" s="82" t="s">
        <v>497</v>
      </c>
      <c r="V224" s="82" t="s">
        <v>497</v>
      </c>
      <c r="W224" s="84" t="s">
        <v>500</v>
      </c>
    </row>
    <row r="225" ht="15.75" customHeight="1">
      <c r="A225" s="82" t="s">
        <v>839</v>
      </c>
      <c r="B225" s="82" t="s">
        <v>353</v>
      </c>
      <c r="C225" s="82" t="s">
        <v>488</v>
      </c>
      <c r="D225" s="83">
        <v>3200.0</v>
      </c>
      <c r="E225" s="82" t="s">
        <v>535</v>
      </c>
      <c r="F225" s="83">
        <v>3200.0</v>
      </c>
      <c r="G225" s="84">
        <v>10.0</v>
      </c>
      <c r="H225" s="83">
        <v>1800.0</v>
      </c>
      <c r="I225" s="82" t="s">
        <v>506</v>
      </c>
      <c r="J225" s="83">
        <v>6900.0</v>
      </c>
      <c r="K225" s="82" t="s">
        <v>514</v>
      </c>
      <c r="L225" s="82" t="s">
        <v>492</v>
      </c>
      <c r="M225" s="82">
        <v>2.0</v>
      </c>
      <c r="N225" s="85" t="s">
        <v>723</v>
      </c>
      <c r="O225" s="82" t="s">
        <v>494</v>
      </c>
      <c r="P225" s="82" t="s">
        <v>495</v>
      </c>
      <c r="Q225" s="86" t="s">
        <v>857</v>
      </c>
      <c r="R225" s="82" t="s">
        <v>497</v>
      </c>
      <c r="S225" s="85" t="s">
        <v>604</v>
      </c>
      <c r="T225" s="85" t="s">
        <v>858</v>
      </c>
      <c r="U225" s="82" t="s">
        <v>497</v>
      </c>
      <c r="V225" s="82" t="s">
        <v>497</v>
      </c>
      <c r="W225" s="84" t="s">
        <v>500</v>
      </c>
    </row>
    <row r="226">
      <c r="A226" s="82" t="s">
        <v>840</v>
      </c>
      <c r="B226" s="82" t="s">
        <v>353</v>
      </c>
      <c r="C226" s="82" t="s">
        <v>502</v>
      </c>
      <c r="D226" s="83">
        <v>3200.0</v>
      </c>
      <c r="E226" s="82" t="s">
        <v>596</v>
      </c>
      <c r="F226" s="83">
        <v>3200.0</v>
      </c>
      <c r="G226" s="84">
        <v>10.0</v>
      </c>
      <c r="H226" s="83">
        <v>1800.0</v>
      </c>
      <c r="I226" s="82" t="s">
        <v>506</v>
      </c>
      <c r="J226" s="83">
        <v>6500.0</v>
      </c>
      <c r="K226" s="82" t="s">
        <v>514</v>
      </c>
      <c r="L226" s="82" t="s">
        <v>492</v>
      </c>
      <c r="M226" s="82">
        <v>2.0</v>
      </c>
      <c r="N226" s="85" t="s">
        <v>723</v>
      </c>
      <c r="O226" s="82" t="s">
        <v>494</v>
      </c>
      <c r="P226" s="82" t="s">
        <v>495</v>
      </c>
      <c r="Q226" s="86" t="s">
        <v>857</v>
      </c>
      <c r="R226" s="82" t="s">
        <v>497</v>
      </c>
      <c r="S226" s="85" t="s">
        <v>604</v>
      </c>
      <c r="T226" s="85" t="s">
        <v>858</v>
      </c>
      <c r="U226" s="82" t="s">
        <v>497</v>
      </c>
      <c r="V226" s="82" t="s">
        <v>497</v>
      </c>
      <c r="W226" s="84" t="s">
        <v>500</v>
      </c>
    </row>
    <row r="227">
      <c r="A227" s="82" t="s">
        <v>841</v>
      </c>
      <c r="B227" s="82" t="s">
        <v>357</v>
      </c>
      <c r="C227" s="82" t="s">
        <v>488</v>
      </c>
      <c r="D227" s="83">
        <v>2500.0</v>
      </c>
      <c r="E227" s="82" t="s">
        <v>535</v>
      </c>
      <c r="F227" s="83">
        <v>2500.0</v>
      </c>
      <c r="G227" s="84">
        <v>7.0</v>
      </c>
      <c r="H227" s="83">
        <v>1250.0</v>
      </c>
      <c r="I227" s="82" t="s">
        <v>536</v>
      </c>
      <c r="J227" s="83">
        <v>6900.0</v>
      </c>
      <c r="K227" s="82" t="s">
        <v>514</v>
      </c>
      <c r="L227" s="82" t="s">
        <v>492</v>
      </c>
      <c r="M227" s="82">
        <v>2.0</v>
      </c>
      <c r="N227" s="85" t="s">
        <v>723</v>
      </c>
      <c r="O227" s="82" t="s">
        <v>494</v>
      </c>
      <c r="P227" s="82" t="s">
        <v>495</v>
      </c>
      <c r="Q227" s="86" t="s">
        <v>857</v>
      </c>
      <c r="R227" s="82" t="s">
        <v>497</v>
      </c>
      <c r="S227" s="85" t="s">
        <v>604</v>
      </c>
      <c r="T227" s="85" t="s">
        <v>858</v>
      </c>
      <c r="U227" s="82" t="s">
        <v>497</v>
      </c>
      <c r="V227" s="82" t="s">
        <v>497</v>
      </c>
      <c r="W227" s="84" t="s">
        <v>500</v>
      </c>
    </row>
    <row r="228" ht="15.75" customHeight="1">
      <c r="A228" s="82" t="s">
        <v>842</v>
      </c>
      <c r="B228" s="82" t="s">
        <v>357</v>
      </c>
      <c r="C228" s="82" t="s">
        <v>502</v>
      </c>
      <c r="D228" s="83">
        <v>2500.0</v>
      </c>
      <c r="E228" s="82" t="s">
        <v>596</v>
      </c>
      <c r="F228" s="83">
        <v>2500.0</v>
      </c>
      <c r="G228" s="84">
        <v>7.0</v>
      </c>
      <c r="H228" s="83">
        <v>1250.0</v>
      </c>
      <c r="I228" s="82" t="s">
        <v>536</v>
      </c>
      <c r="J228" s="83">
        <v>6500.0</v>
      </c>
      <c r="K228" s="82" t="s">
        <v>514</v>
      </c>
      <c r="L228" s="82" t="s">
        <v>492</v>
      </c>
      <c r="M228" s="82">
        <v>2.0</v>
      </c>
      <c r="N228" s="85" t="s">
        <v>723</v>
      </c>
      <c r="O228" s="82" t="s">
        <v>494</v>
      </c>
      <c r="P228" s="82" t="s">
        <v>495</v>
      </c>
      <c r="Q228" s="86" t="s">
        <v>857</v>
      </c>
      <c r="R228" s="82" t="s">
        <v>497</v>
      </c>
      <c r="S228" s="85" t="s">
        <v>604</v>
      </c>
      <c r="T228" s="85" t="s">
        <v>858</v>
      </c>
      <c r="U228" s="82" t="s">
        <v>497</v>
      </c>
      <c r="V228" s="82" t="s">
        <v>497</v>
      </c>
      <c r="W228" s="84" t="s">
        <v>500</v>
      </c>
    </row>
    <row r="229" ht="15.75" customHeight="1">
      <c r="A229" s="82" t="s">
        <v>843</v>
      </c>
      <c r="B229" s="82" t="s">
        <v>359</v>
      </c>
      <c r="C229" s="82" t="s">
        <v>488</v>
      </c>
      <c r="D229" s="83">
        <v>4600.0</v>
      </c>
      <c r="E229" s="82" t="s">
        <v>535</v>
      </c>
      <c r="F229" s="83">
        <v>4600.0</v>
      </c>
      <c r="G229" s="84">
        <v>12.0</v>
      </c>
      <c r="H229" s="83">
        <v>2300.0</v>
      </c>
      <c r="I229" s="82" t="s">
        <v>490</v>
      </c>
      <c r="J229" s="83">
        <v>6900.0</v>
      </c>
      <c r="K229" s="82" t="s">
        <v>514</v>
      </c>
      <c r="L229" s="82" t="s">
        <v>492</v>
      </c>
      <c r="M229" s="82">
        <v>2.0</v>
      </c>
      <c r="N229" s="85" t="s">
        <v>723</v>
      </c>
      <c r="O229" s="82" t="s">
        <v>494</v>
      </c>
      <c r="P229" s="82" t="s">
        <v>495</v>
      </c>
      <c r="Q229" s="86" t="s">
        <v>857</v>
      </c>
      <c r="R229" s="82" t="s">
        <v>497</v>
      </c>
      <c r="S229" s="85" t="s">
        <v>604</v>
      </c>
      <c r="T229" s="85" t="s">
        <v>858</v>
      </c>
      <c r="U229" s="82" t="s">
        <v>497</v>
      </c>
      <c r="V229" s="82" t="s">
        <v>497</v>
      </c>
      <c r="W229" s="84" t="s">
        <v>500</v>
      </c>
    </row>
    <row r="230" ht="15.75" customHeight="1">
      <c r="A230" s="82" t="s">
        <v>844</v>
      </c>
      <c r="B230" s="82" t="s">
        <v>359</v>
      </c>
      <c r="C230" s="82" t="s">
        <v>502</v>
      </c>
      <c r="D230" s="83">
        <v>4600.0</v>
      </c>
      <c r="E230" s="82" t="s">
        <v>596</v>
      </c>
      <c r="F230" s="83">
        <v>4600.0</v>
      </c>
      <c r="G230" s="84">
        <v>12.0</v>
      </c>
      <c r="H230" s="83">
        <v>2300.0</v>
      </c>
      <c r="I230" s="82" t="s">
        <v>490</v>
      </c>
      <c r="J230" s="83">
        <v>6500.0</v>
      </c>
      <c r="K230" s="82" t="s">
        <v>514</v>
      </c>
      <c r="L230" s="82" t="s">
        <v>492</v>
      </c>
      <c r="M230" s="82">
        <v>2.0</v>
      </c>
      <c r="N230" s="85" t="s">
        <v>723</v>
      </c>
      <c r="O230" s="82" t="s">
        <v>494</v>
      </c>
      <c r="P230" s="82" t="s">
        <v>495</v>
      </c>
      <c r="Q230" s="86" t="s">
        <v>857</v>
      </c>
      <c r="R230" s="82" t="s">
        <v>497</v>
      </c>
      <c r="S230" s="85" t="s">
        <v>604</v>
      </c>
      <c r="T230" s="85" t="s">
        <v>858</v>
      </c>
      <c r="U230" s="82" t="s">
        <v>497</v>
      </c>
      <c r="V230" s="82" t="s">
        <v>497</v>
      </c>
      <c r="W230" s="84" t="s">
        <v>500</v>
      </c>
    </row>
    <row r="231" ht="15.75" customHeight="1">
      <c r="A231" s="82" t="s">
        <v>845</v>
      </c>
      <c r="B231" s="82" t="s">
        <v>361</v>
      </c>
      <c r="C231" s="82" t="s">
        <v>488</v>
      </c>
      <c r="D231" s="83">
        <v>5000.0</v>
      </c>
      <c r="E231" s="82" t="s">
        <v>535</v>
      </c>
      <c r="F231" s="83">
        <v>5000.0</v>
      </c>
      <c r="G231" s="84">
        <v>14.0</v>
      </c>
      <c r="H231" s="83">
        <v>2500.0</v>
      </c>
      <c r="I231" s="82" t="s">
        <v>859</v>
      </c>
      <c r="J231" s="83">
        <v>6900.0</v>
      </c>
      <c r="K231" s="82" t="s">
        <v>566</v>
      </c>
      <c r="L231" s="82" t="s">
        <v>492</v>
      </c>
      <c r="M231" s="82">
        <v>2.0</v>
      </c>
      <c r="N231" s="85" t="s">
        <v>723</v>
      </c>
      <c r="O231" s="82" t="s">
        <v>494</v>
      </c>
      <c r="P231" s="82" t="s">
        <v>495</v>
      </c>
      <c r="Q231" s="86" t="s">
        <v>857</v>
      </c>
      <c r="R231" s="82" t="s">
        <v>497</v>
      </c>
      <c r="S231" s="85" t="s">
        <v>604</v>
      </c>
      <c r="T231" s="85" t="s">
        <v>858</v>
      </c>
      <c r="U231" s="82" t="s">
        <v>497</v>
      </c>
      <c r="V231" s="82" t="s">
        <v>497</v>
      </c>
      <c r="W231" s="84" t="s">
        <v>500</v>
      </c>
    </row>
    <row r="232" ht="15.75" customHeight="1">
      <c r="A232" s="82" t="s">
        <v>846</v>
      </c>
      <c r="B232" s="82" t="s">
        <v>361</v>
      </c>
      <c r="C232" s="82" t="s">
        <v>502</v>
      </c>
      <c r="D232" s="83">
        <v>5000.0</v>
      </c>
      <c r="E232" s="82" t="s">
        <v>596</v>
      </c>
      <c r="F232" s="83">
        <v>5000.0</v>
      </c>
      <c r="G232" s="84">
        <v>14.0</v>
      </c>
      <c r="H232" s="83">
        <v>2500.0</v>
      </c>
      <c r="I232" s="82" t="s">
        <v>859</v>
      </c>
      <c r="J232" s="83">
        <v>6500.0</v>
      </c>
      <c r="K232" s="82" t="s">
        <v>566</v>
      </c>
      <c r="L232" s="82" t="s">
        <v>492</v>
      </c>
      <c r="M232" s="82">
        <v>2.0</v>
      </c>
      <c r="N232" s="85" t="s">
        <v>723</v>
      </c>
      <c r="O232" s="82" t="s">
        <v>494</v>
      </c>
      <c r="P232" s="82" t="s">
        <v>495</v>
      </c>
      <c r="Q232" s="86" t="s">
        <v>857</v>
      </c>
      <c r="R232" s="82" t="s">
        <v>497</v>
      </c>
      <c r="S232" s="85" t="s">
        <v>604</v>
      </c>
      <c r="T232" s="85" t="s">
        <v>858</v>
      </c>
      <c r="U232" s="82" t="s">
        <v>497</v>
      </c>
      <c r="V232" s="82" t="s">
        <v>497</v>
      </c>
      <c r="W232" s="84" t="s">
        <v>500</v>
      </c>
    </row>
    <row r="233" ht="15.75" customHeight="1">
      <c r="A233" s="82" t="s">
        <v>860</v>
      </c>
      <c r="B233" s="82" t="s">
        <v>363</v>
      </c>
      <c r="C233" s="82" t="s">
        <v>488</v>
      </c>
      <c r="D233" s="83">
        <v>3200.0</v>
      </c>
      <c r="E233" s="82" t="s">
        <v>535</v>
      </c>
      <c r="F233" s="83">
        <v>3200.0</v>
      </c>
      <c r="G233" s="84">
        <v>10.0</v>
      </c>
      <c r="H233" s="83">
        <v>1800.0</v>
      </c>
      <c r="I233" s="82" t="s">
        <v>856</v>
      </c>
      <c r="J233" s="83">
        <v>6900.0</v>
      </c>
      <c r="K233" s="82" t="s">
        <v>514</v>
      </c>
      <c r="L233" s="82" t="s">
        <v>492</v>
      </c>
      <c r="M233" s="82">
        <v>2.0</v>
      </c>
      <c r="N233" s="85" t="s">
        <v>723</v>
      </c>
      <c r="O233" s="82" t="s">
        <v>494</v>
      </c>
      <c r="P233" s="82" t="s">
        <v>495</v>
      </c>
      <c r="Q233" s="86" t="s">
        <v>857</v>
      </c>
      <c r="R233" s="82" t="s">
        <v>497</v>
      </c>
      <c r="S233" s="85" t="s">
        <v>604</v>
      </c>
      <c r="T233" s="85" t="s">
        <v>858</v>
      </c>
      <c r="U233" s="82" t="s">
        <v>497</v>
      </c>
      <c r="V233" s="82" t="s">
        <v>497</v>
      </c>
      <c r="W233" s="84" t="s">
        <v>500</v>
      </c>
    </row>
    <row r="234" ht="15.75" customHeight="1">
      <c r="A234" s="82" t="s">
        <v>861</v>
      </c>
      <c r="B234" s="82" t="s">
        <v>363</v>
      </c>
      <c r="C234" s="82" t="s">
        <v>502</v>
      </c>
      <c r="D234" s="83">
        <v>3200.0</v>
      </c>
      <c r="E234" s="82" t="s">
        <v>596</v>
      </c>
      <c r="F234" s="83">
        <v>3200.0</v>
      </c>
      <c r="G234" s="84">
        <v>10.0</v>
      </c>
      <c r="H234" s="83">
        <v>1800.0</v>
      </c>
      <c r="I234" s="82" t="s">
        <v>856</v>
      </c>
      <c r="J234" s="83">
        <v>6500.0</v>
      </c>
      <c r="K234" s="82" t="s">
        <v>514</v>
      </c>
      <c r="L234" s="82" t="s">
        <v>492</v>
      </c>
      <c r="M234" s="82">
        <v>2.0</v>
      </c>
      <c r="N234" s="85" t="s">
        <v>723</v>
      </c>
      <c r="O234" s="82" t="s">
        <v>494</v>
      </c>
      <c r="P234" s="82" t="s">
        <v>495</v>
      </c>
      <c r="Q234" s="86" t="s">
        <v>857</v>
      </c>
      <c r="R234" s="82" t="s">
        <v>497</v>
      </c>
      <c r="S234" s="85" t="s">
        <v>604</v>
      </c>
      <c r="T234" s="85" t="s">
        <v>858</v>
      </c>
      <c r="U234" s="82" t="s">
        <v>497</v>
      </c>
      <c r="V234" s="82" t="s">
        <v>497</v>
      </c>
      <c r="W234" s="84" t="s">
        <v>500</v>
      </c>
    </row>
    <row r="235" ht="15.75" customHeight="1">
      <c r="A235" s="82" t="s">
        <v>862</v>
      </c>
      <c r="B235" s="82" t="s">
        <v>365</v>
      </c>
      <c r="C235" s="82" t="s">
        <v>488</v>
      </c>
      <c r="D235" s="83">
        <v>3000.0</v>
      </c>
      <c r="E235" s="82" t="s">
        <v>535</v>
      </c>
      <c r="F235" s="83">
        <v>3000.0</v>
      </c>
      <c r="G235" s="84">
        <v>8.0</v>
      </c>
      <c r="H235" s="83">
        <v>1500.0</v>
      </c>
      <c r="I235" s="82" t="s">
        <v>506</v>
      </c>
      <c r="J235" s="83">
        <v>6900.0</v>
      </c>
      <c r="K235" s="82" t="s">
        <v>566</v>
      </c>
      <c r="L235" s="82" t="s">
        <v>492</v>
      </c>
      <c r="M235" s="82">
        <v>2.0</v>
      </c>
      <c r="N235" s="85" t="s">
        <v>723</v>
      </c>
      <c r="O235" s="82" t="s">
        <v>494</v>
      </c>
      <c r="P235" s="82" t="s">
        <v>495</v>
      </c>
      <c r="Q235" s="86" t="s">
        <v>857</v>
      </c>
      <c r="R235" s="82" t="s">
        <v>497</v>
      </c>
      <c r="S235" s="85" t="s">
        <v>604</v>
      </c>
      <c r="T235" s="85" t="s">
        <v>858</v>
      </c>
      <c r="U235" s="82" t="s">
        <v>497</v>
      </c>
      <c r="V235" s="82" t="s">
        <v>497</v>
      </c>
      <c r="W235" s="84" t="s">
        <v>500</v>
      </c>
    </row>
    <row r="236" ht="15.75" customHeight="1">
      <c r="A236" s="82" t="s">
        <v>863</v>
      </c>
      <c r="B236" s="82" t="s">
        <v>365</v>
      </c>
      <c r="C236" s="82" t="s">
        <v>502</v>
      </c>
      <c r="D236" s="83">
        <v>3000.0</v>
      </c>
      <c r="E236" s="82" t="s">
        <v>596</v>
      </c>
      <c r="F236" s="83">
        <v>3000.0</v>
      </c>
      <c r="G236" s="84">
        <v>8.0</v>
      </c>
      <c r="H236" s="83">
        <v>1500.0</v>
      </c>
      <c r="I236" s="82" t="s">
        <v>506</v>
      </c>
      <c r="J236" s="83">
        <v>6500.0</v>
      </c>
      <c r="K236" s="82" t="s">
        <v>566</v>
      </c>
      <c r="L236" s="82" t="s">
        <v>492</v>
      </c>
      <c r="M236" s="82">
        <v>2.0</v>
      </c>
      <c r="N236" s="85" t="s">
        <v>723</v>
      </c>
      <c r="O236" s="82" t="s">
        <v>494</v>
      </c>
      <c r="P236" s="82" t="s">
        <v>495</v>
      </c>
      <c r="Q236" s="86" t="s">
        <v>857</v>
      </c>
      <c r="R236" s="82" t="s">
        <v>497</v>
      </c>
      <c r="S236" s="85" t="s">
        <v>604</v>
      </c>
      <c r="T236" s="85" t="s">
        <v>858</v>
      </c>
      <c r="U236" s="82" t="s">
        <v>497</v>
      </c>
      <c r="V236" s="82" t="s">
        <v>497</v>
      </c>
      <c r="W236" s="84" t="s">
        <v>500</v>
      </c>
    </row>
    <row r="237" ht="15.75" customHeight="1">
      <c r="A237" s="82" t="s">
        <v>864</v>
      </c>
      <c r="B237" s="82" t="s">
        <v>367</v>
      </c>
      <c r="C237" s="82" t="s">
        <v>488</v>
      </c>
      <c r="D237" s="83">
        <v>3200.0</v>
      </c>
      <c r="E237" s="82" t="s">
        <v>535</v>
      </c>
      <c r="F237" s="83">
        <v>3200.0</v>
      </c>
      <c r="G237" s="84">
        <v>10.0</v>
      </c>
      <c r="H237" s="83">
        <v>1800.0</v>
      </c>
      <c r="I237" s="82" t="s">
        <v>856</v>
      </c>
      <c r="J237" s="83">
        <v>6900.0</v>
      </c>
      <c r="K237" s="82" t="s">
        <v>566</v>
      </c>
      <c r="L237" s="82" t="s">
        <v>492</v>
      </c>
      <c r="M237" s="82">
        <v>2.0</v>
      </c>
      <c r="N237" s="85" t="s">
        <v>723</v>
      </c>
      <c r="O237" s="82" t="s">
        <v>494</v>
      </c>
      <c r="P237" s="82" t="s">
        <v>495</v>
      </c>
      <c r="Q237" s="86" t="s">
        <v>857</v>
      </c>
      <c r="R237" s="82" t="s">
        <v>497</v>
      </c>
      <c r="S237" s="85" t="s">
        <v>604</v>
      </c>
      <c r="T237" s="85" t="s">
        <v>858</v>
      </c>
      <c r="U237" s="82" t="s">
        <v>497</v>
      </c>
      <c r="V237" s="82" t="s">
        <v>497</v>
      </c>
      <c r="W237" s="84" t="s">
        <v>500</v>
      </c>
    </row>
    <row r="238" ht="15.75" customHeight="1">
      <c r="A238" s="82" t="s">
        <v>865</v>
      </c>
      <c r="B238" s="82" t="s">
        <v>367</v>
      </c>
      <c r="C238" s="82" t="s">
        <v>502</v>
      </c>
      <c r="D238" s="83">
        <v>3200.0</v>
      </c>
      <c r="E238" s="82" t="s">
        <v>596</v>
      </c>
      <c r="F238" s="83">
        <v>3200.0</v>
      </c>
      <c r="G238" s="84">
        <v>10.0</v>
      </c>
      <c r="H238" s="83">
        <v>1800.0</v>
      </c>
      <c r="I238" s="82" t="s">
        <v>856</v>
      </c>
      <c r="J238" s="83">
        <v>6500.0</v>
      </c>
      <c r="K238" s="82" t="s">
        <v>566</v>
      </c>
      <c r="L238" s="82" t="s">
        <v>492</v>
      </c>
      <c r="M238" s="82">
        <v>2.0</v>
      </c>
      <c r="N238" s="85" t="s">
        <v>723</v>
      </c>
      <c r="O238" s="82" t="s">
        <v>494</v>
      </c>
      <c r="P238" s="82" t="s">
        <v>495</v>
      </c>
      <c r="Q238" s="86" t="s">
        <v>857</v>
      </c>
      <c r="R238" s="82" t="s">
        <v>497</v>
      </c>
      <c r="S238" s="85" t="s">
        <v>604</v>
      </c>
      <c r="T238" s="85" t="s">
        <v>858</v>
      </c>
      <c r="U238" s="82" t="s">
        <v>497</v>
      </c>
      <c r="V238" s="82" t="s">
        <v>497</v>
      </c>
      <c r="W238" s="84" t="s">
        <v>500</v>
      </c>
    </row>
    <row r="239" ht="15.75" customHeight="1">
      <c r="A239" s="82" t="s">
        <v>866</v>
      </c>
      <c r="B239" s="82" t="s">
        <v>369</v>
      </c>
      <c r="C239" s="82" t="s">
        <v>488</v>
      </c>
      <c r="D239" s="83">
        <v>3000.0</v>
      </c>
      <c r="E239" s="82" t="s">
        <v>535</v>
      </c>
      <c r="F239" s="83">
        <v>3000.0</v>
      </c>
      <c r="G239" s="84">
        <v>8.0</v>
      </c>
      <c r="H239" s="83">
        <v>1500.0</v>
      </c>
      <c r="I239" s="82" t="s">
        <v>506</v>
      </c>
      <c r="J239" s="83">
        <v>6900.0</v>
      </c>
      <c r="K239" s="82" t="s">
        <v>566</v>
      </c>
      <c r="L239" s="82" t="s">
        <v>492</v>
      </c>
      <c r="M239" s="82">
        <v>2.0</v>
      </c>
      <c r="N239" s="85" t="s">
        <v>723</v>
      </c>
      <c r="O239" s="82" t="s">
        <v>494</v>
      </c>
      <c r="P239" s="82" t="s">
        <v>495</v>
      </c>
      <c r="Q239" s="86" t="s">
        <v>857</v>
      </c>
      <c r="R239" s="82" t="s">
        <v>497</v>
      </c>
      <c r="S239" s="85" t="s">
        <v>604</v>
      </c>
      <c r="T239" s="85" t="s">
        <v>858</v>
      </c>
      <c r="U239" s="82" t="s">
        <v>497</v>
      </c>
      <c r="V239" s="82" t="s">
        <v>497</v>
      </c>
      <c r="W239" s="84" t="s">
        <v>500</v>
      </c>
    </row>
    <row r="240" ht="15.75" customHeight="1">
      <c r="A240" s="82" t="s">
        <v>867</v>
      </c>
      <c r="B240" s="82" t="s">
        <v>369</v>
      </c>
      <c r="C240" s="82" t="s">
        <v>502</v>
      </c>
      <c r="D240" s="83">
        <v>3000.0</v>
      </c>
      <c r="E240" s="82" t="s">
        <v>596</v>
      </c>
      <c r="F240" s="83">
        <v>3000.0</v>
      </c>
      <c r="G240" s="84">
        <v>8.0</v>
      </c>
      <c r="H240" s="83">
        <v>1500.0</v>
      </c>
      <c r="I240" s="82" t="s">
        <v>506</v>
      </c>
      <c r="J240" s="83">
        <v>6500.0</v>
      </c>
      <c r="K240" s="82" t="s">
        <v>566</v>
      </c>
      <c r="L240" s="82" t="s">
        <v>492</v>
      </c>
      <c r="M240" s="82">
        <v>2.0</v>
      </c>
      <c r="N240" s="85" t="s">
        <v>723</v>
      </c>
      <c r="O240" s="82" t="s">
        <v>494</v>
      </c>
      <c r="P240" s="82" t="s">
        <v>495</v>
      </c>
      <c r="Q240" s="86" t="s">
        <v>857</v>
      </c>
      <c r="R240" s="82" t="s">
        <v>497</v>
      </c>
      <c r="S240" s="85" t="s">
        <v>604</v>
      </c>
      <c r="T240" s="85" t="s">
        <v>858</v>
      </c>
      <c r="U240" s="82" t="s">
        <v>497</v>
      </c>
      <c r="V240" s="82" t="s">
        <v>497</v>
      </c>
      <c r="W240" s="84" t="s">
        <v>500</v>
      </c>
    </row>
    <row r="241" ht="15.75" customHeight="1">
      <c r="A241" s="82" t="s">
        <v>868</v>
      </c>
      <c r="B241" s="82" t="s">
        <v>371</v>
      </c>
      <c r="C241" s="82" t="s">
        <v>488</v>
      </c>
      <c r="D241" s="83">
        <v>3000.0</v>
      </c>
      <c r="E241" s="82" t="s">
        <v>535</v>
      </c>
      <c r="F241" s="83">
        <v>3000.0</v>
      </c>
      <c r="G241" s="84">
        <v>8.0</v>
      </c>
      <c r="H241" s="83">
        <v>1500.0</v>
      </c>
      <c r="I241" s="82" t="s">
        <v>506</v>
      </c>
      <c r="J241" s="83">
        <v>6900.0</v>
      </c>
      <c r="K241" s="82" t="s">
        <v>566</v>
      </c>
      <c r="L241" s="82" t="s">
        <v>492</v>
      </c>
      <c r="M241" s="82">
        <v>2.0</v>
      </c>
      <c r="N241" s="85" t="s">
        <v>723</v>
      </c>
      <c r="O241" s="82" t="s">
        <v>494</v>
      </c>
      <c r="P241" s="82" t="s">
        <v>495</v>
      </c>
      <c r="Q241" s="86" t="s">
        <v>857</v>
      </c>
      <c r="R241" s="82" t="s">
        <v>497</v>
      </c>
      <c r="S241" s="85" t="s">
        <v>604</v>
      </c>
      <c r="T241" s="85" t="s">
        <v>858</v>
      </c>
      <c r="U241" s="82" t="s">
        <v>497</v>
      </c>
      <c r="V241" s="82" t="s">
        <v>497</v>
      </c>
      <c r="W241" s="84" t="s">
        <v>500</v>
      </c>
    </row>
    <row r="242" ht="15.75" customHeight="1">
      <c r="A242" s="82" t="s">
        <v>869</v>
      </c>
      <c r="B242" s="82" t="s">
        <v>371</v>
      </c>
      <c r="C242" s="82" t="s">
        <v>502</v>
      </c>
      <c r="D242" s="83">
        <v>3000.0</v>
      </c>
      <c r="E242" s="82" t="s">
        <v>596</v>
      </c>
      <c r="F242" s="83">
        <v>3000.0</v>
      </c>
      <c r="G242" s="84">
        <v>8.0</v>
      </c>
      <c r="H242" s="83">
        <v>1500.0</v>
      </c>
      <c r="I242" s="82" t="s">
        <v>506</v>
      </c>
      <c r="J242" s="83">
        <v>6500.0</v>
      </c>
      <c r="K242" s="82" t="s">
        <v>566</v>
      </c>
      <c r="L242" s="82" t="s">
        <v>492</v>
      </c>
      <c r="M242" s="82">
        <v>2.0</v>
      </c>
      <c r="N242" s="85" t="s">
        <v>723</v>
      </c>
      <c r="O242" s="82" t="s">
        <v>494</v>
      </c>
      <c r="P242" s="82" t="s">
        <v>495</v>
      </c>
      <c r="Q242" s="86" t="s">
        <v>857</v>
      </c>
      <c r="R242" s="82" t="s">
        <v>497</v>
      </c>
      <c r="S242" s="85" t="s">
        <v>604</v>
      </c>
      <c r="T242" s="85" t="s">
        <v>858</v>
      </c>
      <c r="U242" s="82" t="s">
        <v>497</v>
      </c>
      <c r="V242" s="82" t="s">
        <v>497</v>
      </c>
      <c r="W242" s="84" t="s">
        <v>500</v>
      </c>
    </row>
    <row r="243" ht="15.75" customHeight="1">
      <c r="A243" s="87" t="s">
        <v>870</v>
      </c>
      <c r="B243" s="87" t="s">
        <v>373</v>
      </c>
      <c r="C243" s="87" t="s">
        <v>517</v>
      </c>
      <c r="D243" s="88">
        <v>1800.0</v>
      </c>
      <c r="E243" s="87" t="s">
        <v>535</v>
      </c>
      <c r="F243" s="88">
        <v>1800.0</v>
      </c>
      <c r="G243" s="89">
        <v>8.0</v>
      </c>
      <c r="H243" s="88">
        <v>1500.0</v>
      </c>
      <c r="I243" s="87" t="s">
        <v>536</v>
      </c>
      <c r="J243" s="88">
        <v>6000.0</v>
      </c>
      <c r="K243" s="87" t="s">
        <v>514</v>
      </c>
      <c r="L243" s="87" t="s">
        <v>507</v>
      </c>
      <c r="M243" s="87">
        <v>2.0</v>
      </c>
      <c r="N243" s="89" t="s">
        <v>493</v>
      </c>
      <c r="O243" s="87" t="s">
        <v>586</v>
      </c>
      <c r="P243" s="87" t="s">
        <v>495</v>
      </c>
      <c r="Q243" s="90" t="s">
        <v>871</v>
      </c>
      <c r="R243" s="87" t="s">
        <v>497</v>
      </c>
      <c r="S243" s="89" t="s">
        <v>872</v>
      </c>
      <c r="T243" s="89" t="s">
        <v>873</v>
      </c>
      <c r="U243" s="87" t="s">
        <v>497</v>
      </c>
      <c r="V243" s="87" t="s">
        <v>497</v>
      </c>
      <c r="W243" s="91"/>
    </row>
    <row r="244" ht="15.75" customHeight="1">
      <c r="A244" s="87" t="s">
        <v>874</v>
      </c>
      <c r="B244" s="87" t="s">
        <v>373</v>
      </c>
      <c r="C244" s="87" t="s">
        <v>570</v>
      </c>
      <c r="D244" s="88">
        <v>1800.0</v>
      </c>
      <c r="E244" s="87" t="s">
        <v>596</v>
      </c>
      <c r="F244" s="88">
        <v>1800.0</v>
      </c>
      <c r="G244" s="89">
        <v>8.0</v>
      </c>
      <c r="H244" s="88">
        <v>1500.0</v>
      </c>
      <c r="I244" s="87" t="s">
        <v>536</v>
      </c>
      <c r="J244" s="88">
        <v>6000.0</v>
      </c>
      <c r="K244" s="87" t="s">
        <v>514</v>
      </c>
      <c r="L244" s="87" t="s">
        <v>507</v>
      </c>
      <c r="M244" s="87">
        <v>2.0</v>
      </c>
      <c r="N244" s="89" t="s">
        <v>493</v>
      </c>
      <c r="O244" s="87" t="s">
        <v>586</v>
      </c>
      <c r="P244" s="87" t="s">
        <v>495</v>
      </c>
      <c r="Q244" s="90" t="s">
        <v>871</v>
      </c>
      <c r="R244" s="87" t="s">
        <v>497</v>
      </c>
      <c r="S244" s="89" t="s">
        <v>872</v>
      </c>
      <c r="T244" s="89" t="s">
        <v>873</v>
      </c>
      <c r="U244" s="87" t="s">
        <v>497</v>
      </c>
      <c r="V244" s="87" t="s">
        <v>497</v>
      </c>
      <c r="W244" s="91"/>
    </row>
    <row r="245" ht="15.75" customHeight="1">
      <c r="A245" s="87" t="s">
        <v>875</v>
      </c>
      <c r="B245" s="87" t="s">
        <v>380</v>
      </c>
      <c r="C245" s="87" t="s">
        <v>517</v>
      </c>
      <c r="D245" s="88">
        <v>3600.0</v>
      </c>
      <c r="E245" s="87" t="s">
        <v>535</v>
      </c>
      <c r="F245" s="88">
        <v>3600.0</v>
      </c>
      <c r="G245" s="89">
        <v>19.0</v>
      </c>
      <c r="H245" s="88">
        <v>3360.0</v>
      </c>
      <c r="I245" s="87" t="s">
        <v>697</v>
      </c>
      <c r="J245" s="88">
        <v>6500.0</v>
      </c>
      <c r="K245" s="87" t="s">
        <v>491</v>
      </c>
      <c r="L245" s="87" t="s">
        <v>492</v>
      </c>
      <c r="M245" s="87">
        <v>2.0</v>
      </c>
      <c r="N245" s="89" t="s">
        <v>493</v>
      </c>
      <c r="O245" s="87" t="s">
        <v>586</v>
      </c>
      <c r="P245" s="87" t="s">
        <v>495</v>
      </c>
      <c r="Q245" s="90" t="s">
        <v>871</v>
      </c>
      <c r="R245" s="87" t="s">
        <v>497</v>
      </c>
      <c r="S245" s="89" t="s">
        <v>872</v>
      </c>
      <c r="T245" s="89" t="s">
        <v>553</v>
      </c>
      <c r="U245" s="87" t="s">
        <v>497</v>
      </c>
      <c r="V245" s="87" t="s">
        <v>497</v>
      </c>
      <c r="W245" s="92"/>
    </row>
    <row r="246" ht="15.75" customHeight="1">
      <c r="A246" s="87" t="s">
        <v>876</v>
      </c>
      <c r="B246" s="87" t="s">
        <v>380</v>
      </c>
      <c r="C246" s="87" t="s">
        <v>570</v>
      </c>
      <c r="D246" s="88">
        <v>3600.0</v>
      </c>
      <c r="E246" s="87" t="s">
        <v>596</v>
      </c>
      <c r="F246" s="88">
        <v>3600.0</v>
      </c>
      <c r="G246" s="89">
        <v>19.0</v>
      </c>
      <c r="H246" s="88">
        <v>3360.0</v>
      </c>
      <c r="I246" s="87" t="s">
        <v>697</v>
      </c>
      <c r="J246" s="88">
        <v>6500.0</v>
      </c>
      <c r="K246" s="87" t="s">
        <v>491</v>
      </c>
      <c r="L246" s="87" t="s">
        <v>492</v>
      </c>
      <c r="M246" s="87">
        <v>2.0</v>
      </c>
      <c r="N246" s="89" t="s">
        <v>493</v>
      </c>
      <c r="O246" s="87" t="s">
        <v>586</v>
      </c>
      <c r="P246" s="87" t="s">
        <v>495</v>
      </c>
      <c r="Q246" s="90" t="s">
        <v>871</v>
      </c>
      <c r="R246" s="87" t="s">
        <v>497</v>
      </c>
      <c r="S246" s="89" t="s">
        <v>872</v>
      </c>
      <c r="T246" s="89" t="s">
        <v>553</v>
      </c>
      <c r="U246" s="87" t="s">
        <v>497</v>
      </c>
      <c r="V246" s="87" t="s">
        <v>497</v>
      </c>
      <c r="W246" s="92"/>
    </row>
    <row r="247" ht="15.75" customHeight="1">
      <c r="A247" s="87" t="s">
        <v>877</v>
      </c>
      <c r="B247" s="87" t="s">
        <v>382</v>
      </c>
      <c r="C247" s="87" t="s">
        <v>517</v>
      </c>
      <c r="D247" s="88">
        <v>1000.0</v>
      </c>
      <c r="E247" s="87" t="s">
        <v>535</v>
      </c>
      <c r="F247" s="88">
        <v>1000.0</v>
      </c>
      <c r="G247" s="89">
        <v>4.0</v>
      </c>
      <c r="H247" s="88">
        <v>720.0</v>
      </c>
      <c r="I247" s="87" t="s">
        <v>513</v>
      </c>
      <c r="J247" s="88">
        <v>5000.0</v>
      </c>
      <c r="K247" s="87" t="s">
        <v>514</v>
      </c>
      <c r="L247" s="87" t="s">
        <v>507</v>
      </c>
      <c r="M247" s="87">
        <v>2.0</v>
      </c>
      <c r="N247" s="89" t="s">
        <v>493</v>
      </c>
      <c r="O247" s="87" t="s">
        <v>586</v>
      </c>
      <c r="P247" s="87" t="s">
        <v>495</v>
      </c>
      <c r="Q247" s="90" t="s">
        <v>878</v>
      </c>
      <c r="R247" s="87" t="s">
        <v>497</v>
      </c>
      <c r="S247" s="89" t="s">
        <v>791</v>
      </c>
      <c r="T247" s="89" t="s">
        <v>553</v>
      </c>
      <c r="U247" s="87" t="s">
        <v>497</v>
      </c>
      <c r="V247" s="87" t="s">
        <v>497</v>
      </c>
      <c r="W247" s="92"/>
    </row>
    <row r="248" ht="15.75" customHeight="1">
      <c r="A248" s="87" t="s">
        <v>879</v>
      </c>
      <c r="B248" s="87" t="s">
        <v>382</v>
      </c>
      <c r="C248" s="87" t="s">
        <v>570</v>
      </c>
      <c r="D248" s="88">
        <v>1000.0</v>
      </c>
      <c r="E248" s="87" t="s">
        <v>596</v>
      </c>
      <c r="F248" s="88">
        <v>1000.0</v>
      </c>
      <c r="G248" s="89">
        <v>4.0</v>
      </c>
      <c r="H248" s="88">
        <v>720.0</v>
      </c>
      <c r="I248" s="87" t="s">
        <v>513</v>
      </c>
      <c r="J248" s="88">
        <v>5000.0</v>
      </c>
      <c r="K248" s="87" t="s">
        <v>514</v>
      </c>
      <c r="L248" s="87" t="s">
        <v>507</v>
      </c>
      <c r="M248" s="87">
        <v>2.0</v>
      </c>
      <c r="N248" s="89" t="s">
        <v>493</v>
      </c>
      <c r="O248" s="87" t="s">
        <v>586</v>
      </c>
      <c r="P248" s="87" t="s">
        <v>495</v>
      </c>
      <c r="Q248" s="90" t="s">
        <v>878</v>
      </c>
      <c r="R248" s="87" t="s">
        <v>497</v>
      </c>
      <c r="S248" s="89" t="s">
        <v>791</v>
      </c>
      <c r="T248" s="89" t="s">
        <v>553</v>
      </c>
      <c r="U248" s="87" t="s">
        <v>497</v>
      </c>
      <c r="V248" s="87" t="s">
        <v>497</v>
      </c>
      <c r="W248" s="92"/>
    </row>
    <row r="249" ht="15.75" customHeight="1">
      <c r="A249" s="87" t="s">
        <v>880</v>
      </c>
      <c r="B249" s="87" t="s">
        <v>384</v>
      </c>
      <c r="C249" s="87" t="s">
        <v>517</v>
      </c>
      <c r="D249" s="88">
        <v>600.0</v>
      </c>
      <c r="E249" s="87" t="s">
        <v>535</v>
      </c>
      <c r="F249" s="88">
        <v>600.0</v>
      </c>
      <c r="G249" s="89">
        <v>1.0</v>
      </c>
      <c r="H249" s="88">
        <v>240.0</v>
      </c>
      <c r="I249" s="93">
        <v>800.0</v>
      </c>
      <c r="J249" s="88">
        <v>6000.0</v>
      </c>
      <c r="K249" s="87" t="s">
        <v>514</v>
      </c>
      <c r="L249" s="87" t="s">
        <v>507</v>
      </c>
      <c r="M249" s="87">
        <v>2.0</v>
      </c>
      <c r="N249" s="89" t="s">
        <v>493</v>
      </c>
      <c r="O249" s="87" t="s">
        <v>586</v>
      </c>
      <c r="P249" s="87" t="s">
        <v>495</v>
      </c>
      <c r="Q249" s="90" t="s">
        <v>878</v>
      </c>
      <c r="R249" s="87" t="s">
        <v>497</v>
      </c>
      <c r="S249" s="89" t="s">
        <v>881</v>
      </c>
      <c r="T249" s="89" t="s">
        <v>601</v>
      </c>
      <c r="U249" s="87" t="s">
        <v>497</v>
      </c>
      <c r="V249" s="87" t="s">
        <v>497</v>
      </c>
      <c r="W249" s="92"/>
    </row>
    <row r="250" ht="15.75" customHeight="1">
      <c r="A250" s="87" t="s">
        <v>882</v>
      </c>
      <c r="B250" s="87" t="s">
        <v>384</v>
      </c>
      <c r="C250" s="87" t="s">
        <v>570</v>
      </c>
      <c r="D250" s="88">
        <v>600.0</v>
      </c>
      <c r="E250" s="87" t="s">
        <v>596</v>
      </c>
      <c r="F250" s="88">
        <v>600.0</v>
      </c>
      <c r="G250" s="89">
        <v>1.0</v>
      </c>
      <c r="H250" s="88">
        <v>240.0</v>
      </c>
      <c r="I250" s="93">
        <v>800.0</v>
      </c>
      <c r="J250" s="88">
        <v>6000.0</v>
      </c>
      <c r="K250" s="87" t="s">
        <v>514</v>
      </c>
      <c r="L250" s="87" t="s">
        <v>507</v>
      </c>
      <c r="M250" s="87">
        <v>2.0</v>
      </c>
      <c r="N250" s="89" t="s">
        <v>493</v>
      </c>
      <c r="O250" s="87" t="s">
        <v>586</v>
      </c>
      <c r="P250" s="87" t="s">
        <v>495</v>
      </c>
      <c r="Q250" s="90" t="s">
        <v>878</v>
      </c>
      <c r="R250" s="87" t="s">
        <v>497</v>
      </c>
      <c r="S250" s="89" t="s">
        <v>881</v>
      </c>
      <c r="T250" s="89" t="s">
        <v>601</v>
      </c>
      <c r="U250" s="87" t="s">
        <v>497</v>
      </c>
      <c r="V250" s="87" t="s">
        <v>497</v>
      </c>
      <c r="W250" s="92"/>
    </row>
    <row r="251" ht="15.75" customHeight="1">
      <c r="A251" s="87" t="s">
        <v>883</v>
      </c>
      <c r="B251" s="87" t="s">
        <v>386</v>
      </c>
      <c r="C251" s="87" t="s">
        <v>517</v>
      </c>
      <c r="D251" s="88">
        <v>600.0</v>
      </c>
      <c r="E251" s="87" t="s">
        <v>535</v>
      </c>
      <c r="F251" s="88">
        <v>600.0</v>
      </c>
      <c r="G251" s="89">
        <v>2.0</v>
      </c>
      <c r="H251" s="88">
        <v>360.0</v>
      </c>
      <c r="I251" s="87" t="s">
        <v>513</v>
      </c>
      <c r="J251" s="88">
        <v>6500.0</v>
      </c>
      <c r="K251" s="87" t="s">
        <v>491</v>
      </c>
      <c r="L251" s="87" t="s">
        <v>492</v>
      </c>
      <c r="M251" s="87">
        <v>2.0</v>
      </c>
      <c r="N251" s="89" t="s">
        <v>493</v>
      </c>
      <c r="O251" s="87" t="s">
        <v>586</v>
      </c>
      <c r="P251" s="87" t="s">
        <v>495</v>
      </c>
      <c r="Q251" s="90" t="s">
        <v>878</v>
      </c>
      <c r="R251" s="87" t="s">
        <v>497</v>
      </c>
      <c r="S251" s="89" t="s">
        <v>884</v>
      </c>
      <c r="T251" s="89" t="s">
        <v>873</v>
      </c>
      <c r="U251" s="87" t="s">
        <v>497</v>
      </c>
      <c r="V251" s="87" t="s">
        <v>497</v>
      </c>
      <c r="W251" s="92"/>
    </row>
    <row r="252" ht="15.75" customHeight="1">
      <c r="A252" s="87" t="s">
        <v>885</v>
      </c>
      <c r="B252" s="87" t="s">
        <v>386</v>
      </c>
      <c r="C252" s="87" t="s">
        <v>570</v>
      </c>
      <c r="D252" s="88">
        <v>600.0</v>
      </c>
      <c r="E252" s="87" t="s">
        <v>596</v>
      </c>
      <c r="F252" s="88">
        <v>600.0</v>
      </c>
      <c r="G252" s="89">
        <v>2.0</v>
      </c>
      <c r="H252" s="88">
        <v>360.0</v>
      </c>
      <c r="I252" s="87" t="s">
        <v>513</v>
      </c>
      <c r="J252" s="88">
        <v>6500.0</v>
      </c>
      <c r="K252" s="87" t="s">
        <v>491</v>
      </c>
      <c r="L252" s="87" t="s">
        <v>492</v>
      </c>
      <c r="M252" s="87">
        <v>2.0</v>
      </c>
      <c r="N252" s="89" t="s">
        <v>493</v>
      </c>
      <c r="O252" s="87" t="s">
        <v>586</v>
      </c>
      <c r="P252" s="87" t="s">
        <v>495</v>
      </c>
      <c r="Q252" s="90" t="s">
        <v>878</v>
      </c>
      <c r="R252" s="87" t="s">
        <v>497</v>
      </c>
      <c r="S252" s="89" t="s">
        <v>884</v>
      </c>
      <c r="T252" s="89" t="s">
        <v>873</v>
      </c>
      <c r="U252" s="87" t="s">
        <v>497</v>
      </c>
      <c r="V252" s="87" t="s">
        <v>497</v>
      </c>
      <c r="W252" s="92"/>
    </row>
    <row r="253" ht="15.75" customHeight="1">
      <c r="A253" s="87" t="s">
        <v>886</v>
      </c>
      <c r="B253" s="87" t="s">
        <v>388</v>
      </c>
      <c r="C253" s="87" t="s">
        <v>517</v>
      </c>
      <c r="D253" s="88">
        <v>500.0</v>
      </c>
      <c r="E253" s="87" t="s">
        <v>535</v>
      </c>
      <c r="F253" s="88">
        <v>500.0</v>
      </c>
      <c r="G253" s="89">
        <v>2.0</v>
      </c>
      <c r="H253" s="88">
        <v>360.0</v>
      </c>
      <c r="I253" s="87" t="s">
        <v>513</v>
      </c>
      <c r="J253" s="88">
        <v>6500.0</v>
      </c>
      <c r="K253" s="87" t="s">
        <v>491</v>
      </c>
      <c r="L253" s="87" t="s">
        <v>492</v>
      </c>
      <c r="M253" s="87">
        <v>2.0</v>
      </c>
      <c r="N253" s="89" t="s">
        <v>493</v>
      </c>
      <c r="O253" s="87" t="s">
        <v>586</v>
      </c>
      <c r="P253" s="87" t="s">
        <v>495</v>
      </c>
      <c r="Q253" s="90" t="s">
        <v>878</v>
      </c>
      <c r="R253" s="87" t="s">
        <v>497</v>
      </c>
      <c r="S253" s="89" t="s">
        <v>887</v>
      </c>
      <c r="T253" s="89" t="s">
        <v>612</v>
      </c>
      <c r="U253" s="87" t="s">
        <v>497</v>
      </c>
      <c r="V253" s="87" t="s">
        <v>497</v>
      </c>
      <c r="W253" s="92"/>
    </row>
    <row r="254" ht="15.75" customHeight="1">
      <c r="A254" s="87" t="s">
        <v>888</v>
      </c>
      <c r="B254" s="87" t="s">
        <v>388</v>
      </c>
      <c r="C254" s="87" t="s">
        <v>570</v>
      </c>
      <c r="D254" s="88">
        <v>500.0</v>
      </c>
      <c r="E254" s="87" t="s">
        <v>596</v>
      </c>
      <c r="F254" s="88">
        <v>500.0</v>
      </c>
      <c r="G254" s="89">
        <v>2.0</v>
      </c>
      <c r="H254" s="88">
        <v>360.0</v>
      </c>
      <c r="I254" s="87" t="s">
        <v>513</v>
      </c>
      <c r="J254" s="88">
        <v>6500.0</v>
      </c>
      <c r="K254" s="87" t="s">
        <v>491</v>
      </c>
      <c r="L254" s="87" t="s">
        <v>492</v>
      </c>
      <c r="M254" s="87">
        <v>2.0</v>
      </c>
      <c r="N254" s="89" t="s">
        <v>493</v>
      </c>
      <c r="O254" s="87" t="s">
        <v>586</v>
      </c>
      <c r="P254" s="87" t="s">
        <v>495</v>
      </c>
      <c r="Q254" s="90" t="s">
        <v>878</v>
      </c>
      <c r="R254" s="87" t="s">
        <v>497</v>
      </c>
      <c r="S254" s="89" t="s">
        <v>887</v>
      </c>
      <c r="T254" s="89" t="s">
        <v>612</v>
      </c>
      <c r="U254" s="87" t="s">
        <v>497</v>
      </c>
      <c r="V254" s="87" t="s">
        <v>497</v>
      </c>
      <c r="W254" s="92"/>
    </row>
    <row r="255" ht="15.75" customHeight="1">
      <c r="A255" s="87" t="s">
        <v>889</v>
      </c>
      <c r="B255" s="87" t="s">
        <v>390</v>
      </c>
      <c r="C255" s="87" t="s">
        <v>517</v>
      </c>
      <c r="D255" s="88">
        <v>500.0</v>
      </c>
      <c r="E255" s="87" t="s">
        <v>535</v>
      </c>
      <c r="F255" s="88">
        <v>500.0</v>
      </c>
      <c r="G255" s="89">
        <v>1.5</v>
      </c>
      <c r="H255" s="88">
        <v>270.0</v>
      </c>
      <c r="I255" s="87" t="s">
        <v>659</v>
      </c>
      <c r="J255" s="88">
        <v>6200.0</v>
      </c>
      <c r="K255" s="87" t="s">
        <v>514</v>
      </c>
      <c r="L255" s="87" t="s">
        <v>492</v>
      </c>
      <c r="M255" s="87">
        <v>2.0</v>
      </c>
      <c r="N255" s="89" t="s">
        <v>493</v>
      </c>
      <c r="O255" s="87" t="s">
        <v>586</v>
      </c>
      <c r="P255" s="87" t="s">
        <v>495</v>
      </c>
      <c r="Q255" s="90" t="s">
        <v>878</v>
      </c>
      <c r="R255" s="87" t="s">
        <v>497</v>
      </c>
      <c r="S255" s="89" t="s">
        <v>887</v>
      </c>
      <c r="T255" s="89" t="s">
        <v>873</v>
      </c>
      <c r="U255" s="87" t="s">
        <v>497</v>
      </c>
      <c r="V255" s="87" t="s">
        <v>497</v>
      </c>
      <c r="W255" s="92"/>
    </row>
    <row r="256" ht="15.75" customHeight="1">
      <c r="A256" s="87" t="s">
        <v>890</v>
      </c>
      <c r="B256" s="87" t="s">
        <v>390</v>
      </c>
      <c r="C256" s="87" t="s">
        <v>570</v>
      </c>
      <c r="D256" s="88">
        <v>500.0</v>
      </c>
      <c r="E256" s="87" t="s">
        <v>596</v>
      </c>
      <c r="F256" s="88">
        <v>500.0</v>
      </c>
      <c r="G256" s="89">
        <v>1.5</v>
      </c>
      <c r="H256" s="88">
        <v>270.0</v>
      </c>
      <c r="I256" s="87" t="s">
        <v>659</v>
      </c>
      <c r="J256" s="88">
        <v>6200.0</v>
      </c>
      <c r="K256" s="87" t="s">
        <v>514</v>
      </c>
      <c r="L256" s="87" t="s">
        <v>492</v>
      </c>
      <c r="M256" s="87">
        <v>2.0</v>
      </c>
      <c r="N256" s="89" t="s">
        <v>493</v>
      </c>
      <c r="O256" s="87" t="s">
        <v>586</v>
      </c>
      <c r="P256" s="87" t="s">
        <v>495</v>
      </c>
      <c r="Q256" s="90" t="s">
        <v>878</v>
      </c>
      <c r="R256" s="87" t="s">
        <v>497</v>
      </c>
      <c r="S256" s="89" t="s">
        <v>887</v>
      </c>
      <c r="T256" s="89" t="s">
        <v>873</v>
      </c>
      <c r="U256" s="87" t="s">
        <v>497</v>
      </c>
      <c r="V256" s="87" t="s">
        <v>497</v>
      </c>
      <c r="W256" s="92"/>
    </row>
    <row r="257" ht="15.75" customHeight="1">
      <c r="A257" s="87" t="s">
        <v>891</v>
      </c>
      <c r="B257" s="87" t="s">
        <v>392</v>
      </c>
      <c r="C257" s="87" t="s">
        <v>517</v>
      </c>
      <c r="D257" s="88">
        <v>600.0</v>
      </c>
      <c r="E257" s="87" t="s">
        <v>535</v>
      </c>
      <c r="F257" s="88">
        <v>600.0</v>
      </c>
      <c r="G257" s="89">
        <v>1.0</v>
      </c>
      <c r="H257" s="88">
        <v>240.0</v>
      </c>
      <c r="I257" s="87" t="s">
        <v>524</v>
      </c>
      <c r="J257" s="88">
        <v>6500.0</v>
      </c>
      <c r="K257" s="87" t="s">
        <v>491</v>
      </c>
      <c r="L257" s="87" t="s">
        <v>492</v>
      </c>
      <c r="M257" s="87">
        <v>2.0</v>
      </c>
      <c r="N257" s="89" t="s">
        <v>493</v>
      </c>
      <c r="O257" s="87" t="s">
        <v>586</v>
      </c>
      <c r="P257" s="87" t="s">
        <v>495</v>
      </c>
      <c r="Q257" s="90" t="s">
        <v>878</v>
      </c>
      <c r="R257" s="87" t="s">
        <v>497</v>
      </c>
      <c r="S257" s="89" t="s">
        <v>884</v>
      </c>
      <c r="T257" s="89" t="s">
        <v>612</v>
      </c>
      <c r="U257" s="87" t="s">
        <v>497</v>
      </c>
      <c r="V257" s="87" t="s">
        <v>497</v>
      </c>
      <c r="W257" s="92"/>
    </row>
    <row r="258" ht="15.75" customHeight="1">
      <c r="A258" s="87" t="s">
        <v>892</v>
      </c>
      <c r="B258" s="87" t="s">
        <v>392</v>
      </c>
      <c r="C258" s="87" t="s">
        <v>570</v>
      </c>
      <c r="D258" s="88">
        <v>600.0</v>
      </c>
      <c r="E258" s="87" t="s">
        <v>596</v>
      </c>
      <c r="F258" s="88">
        <v>600.0</v>
      </c>
      <c r="G258" s="89">
        <v>1.0</v>
      </c>
      <c r="H258" s="88">
        <v>240.0</v>
      </c>
      <c r="I258" s="87" t="s">
        <v>524</v>
      </c>
      <c r="J258" s="88">
        <v>6500.0</v>
      </c>
      <c r="K258" s="87" t="s">
        <v>491</v>
      </c>
      <c r="L258" s="87" t="s">
        <v>492</v>
      </c>
      <c r="M258" s="87">
        <v>2.0</v>
      </c>
      <c r="N258" s="89" t="s">
        <v>493</v>
      </c>
      <c r="O258" s="87" t="s">
        <v>586</v>
      </c>
      <c r="P258" s="87" t="s">
        <v>495</v>
      </c>
      <c r="Q258" s="90" t="s">
        <v>878</v>
      </c>
      <c r="R258" s="87" t="s">
        <v>497</v>
      </c>
      <c r="S258" s="89" t="s">
        <v>884</v>
      </c>
      <c r="T258" s="89" t="s">
        <v>612</v>
      </c>
      <c r="U258" s="87" t="s">
        <v>497</v>
      </c>
      <c r="V258" s="87" t="s">
        <v>497</v>
      </c>
      <c r="W258" s="92"/>
    </row>
    <row r="259" ht="15.75" customHeight="1">
      <c r="A259" s="87" t="s">
        <v>893</v>
      </c>
      <c r="B259" s="87" t="s">
        <v>394</v>
      </c>
      <c r="C259" s="87" t="s">
        <v>517</v>
      </c>
      <c r="D259" s="88">
        <v>1000.0</v>
      </c>
      <c r="E259" s="87" t="s">
        <v>535</v>
      </c>
      <c r="F259" s="88">
        <v>1000.0</v>
      </c>
      <c r="G259" s="89">
        <v>3.0</v>
      </c>
      <c r="H259" s="88">
        <v>500.0</v>
      </c>
      <c r="I259" s="87" t="s">
        <v>600</v>
      </c>
      <c r="J259" s="88">
        <v>6700.0</v>
      </c>
      <c r="K259" s="87" t="s">
        <v>514</v>
      </c>
      <c r="L259" s="87" t="s">
        <v>507</v>
      </c>
      <c r="M259" s="87">
        <v>2.0</v>
      </c>
      <c r="N259" s="89" t="s">
        <v>493</v>
      </c>
      <c r="O259" s="87" t="s">
        <v>586</v>
      </c>
      <c r="P259" s="87" t="s">
        <v>495</v>
      </c>
      <c r="Q259" s="90" t="s">
        <v>878</v>
      </c>
      <c r="R259" s="87" t="s">
        <v>497</v>
      </c>
      <c r="S259" s="89" t="s">
        <v>872</v>
      </c>
      <c r="T259" s="89" t="s">
        <v>894</v>
      </c>
      <c r="U259" s="87" t="s">
        <v>497</v>
      </c>
      <c r="V259" s="87" t="s">
        <v>497</v>
      </c>
      <c r="W259" s="92"/>
    </row>
    <row r="260" ht="15.75" customHeight="1">
      <c r="A260" s="87" t="s">
        <v>895</v>
      </c>
      <c r="B260" s="87" t="s">
        <v>394</v>
      </c>
      <c r="C260" s="87" t="s">
        <v>570</v>
      </c>
      <c r="D260" s="88">
        <v>1000.0</v>
      </c>
      <c r="E260" s="87" t="s">
        <v>596</v>
      </c>
      <c r="F260" s="88">
        <v>1000.0</v>
      </c>
      <c r="G260" s="89">
        <v>3.0</v>
      </c>
      <c r="H260" s="88">
        <v>500.0</v>
      </c>
      <c r="I260" s="87" t="s">
        <v>600</v>
      </c>
      <c r="J260" s="88">
        <v>6700.0</v>
      </c>
      <c r="K260" s="87" t="s">
        <v>514</v>
      </c>
      <c r="L260" s="87" t="s">
        <v>507</v>
      </c>
      <c r="M260" s="87">
        <v>2.0</v>
      </c>
      <c r="N260" s="89" t="s">
        <v>493</v>
      </c>
      <c r="O260" s="87" t="s">
        <v>586</v>
      </c>
      <c r="P260" s="87" t="s">
        <v>495</v>
      </c>
      <c r="Q260" s="90" t="s">
        <v>878</v>
      </c>
      <c r="R260" s="87" t="s">
        <v>497</v>
      </c>
      <c r="S260" s="89" t="s">
        <v>872</v>
      </c>
      <c r="T260" s="89" t="s">
        <v>894</v>
      </c>
      <c r="U260" s="87" t="s">
        <v>497</v>
      </c>
      <c r="V260" s="87" t="s">
        <v>497</v>
      </c>
      <c r="W260" s="92"/>
    </row>
    <row r="261" ht="15.75" customHeight="1">
      <c r="A261" s="87" t="s">
        <v>896</v>
      </c>
      <c r="B261" s="87" t="s">
        <v>396</v>
      </c>
      <c r="C261" s="87" t="s">
        <v>517</v>
      </c>
      <c r="D261" s="88">
        <v>500.0</v>
      </c>
      <c r="E261" s="87" t="s">
        <v>535</v>
      </c>
      <c r="F261" s="88">
        <v>500.0</v>
      </c>
      <c r="G261" s="89">
        <v>1.5</v>
      </c>
      <c r="H261" s="88">
        <v>270.0</v>
      </c>
      <c r="I261" s="87" t="s">
        <v>513</v>
      </c>
      <c r="J261" s="88">
        <v>6200.0</v>
      </c>
      <c r="K261" s="87" t="s">
        <v>491</v>
      </c>
      <c r="L261" s="87" t="s">
        <v>492</v>
      </c>
      <c r="M261" s="87">
        <v>2.0</v>
      </c>
      <c r="N261" s="89" t="s">
        <v>493</v>
      </c>
      <c r="O261" s="87" t="s">
        <v>586</v>
      </c>
      <c r="P261" s="87" t="s">
        <v>495</v>
      </c>
      <c r="Q261" s="90" t="s">
        <v>878</v>
      </c>
      <c r="R261" s="87" t="s">
        <v>497</v>
      </c>
      <c r="S261" s="89" t="s">
        <v>791</v>
      </c>
      <c r="T261" s="89" t="s">
        <v>873</v>
      </c>
      <c r="U261" s="87" t="s">
        <v>497</v>
      </c>
      <c r="V261" s="87" t="s">
        <v>497</v>
      </c>
      <c r="W261" s="92"/>
    </row>
    <row r="262" ht="15.75" customHeight="1">
      <c r="A262" s="87" t="s">
        <v>897</v>
      </c>
      <c r="B262" s="87" t="s">
        <v>396</v>
      </c>
      <c r="C262" s="87" t="s">
        <v>570</v>
      </c>
      <c r="D262" s="88">
        <v>500.0</v>
      </c>
      <c r="E262" s="87" t="s">
        <v>596</v>
      </c>
      <c r="F262" s="88">
        <v>500.0</v>
      </c>
      <c r="G262" s="89">
        <v>1.5</v>
      </c>
      <c r="H262" s="88">
        <v>270.0</v>
      </c>
      <c r="I262" s="87" t="s">
        <v>513</v>
      </c>
      <c r="J262" s="88">
        <v>6200.0</v>
      </c>
      <c r="K262" s="87" t="s">
        <v>491</v>
      </c>
      <c r="L262" s="87" t="s">
        <v>492</v>
      </c>
      <c r="M262" s="87">
        <v>2.0</v>
      </c>
      <c r="N262" s="89" t="s">
        <v>493</v>
      </c>
      <c r="O262" s="87" t="s">
        <v>586</v>
      </c>
      <c r="P262" s="87" t="s">
        <v>495</v>
      </c>
      <c r="Q262" s="90" t="s">
        <v>878</v>
      </c>
      <c r="R262" s="87" t="s">
        <v>497</v>
      </c>
      <c r="S262" s="89" t="s">
        <v>791</v>
      </c>
      <c r="T262" s="89" t="s">
        <v>873</v>
      </c>
      <c r="U262" s="87" t="s">
        <v>497</v>
      </c>
      <c r="V262" s="87" t="s">
        <v>497</v>
      </c>
      <c r="W262" s="92"/>
    </row>
    <row r="263" ht="15.75" customHeight="1">
      <c r="A263" s="87" t="s">
        <v>898</v>
      </c>
      <c r="B263" s="87" t="s">
        <v>398</v>
      </c>
      <c r="C263" s="87" t="s">
        <v>517</v>
      </c>
      <c r="D263" s="88">
        <v>2000.0</v>
      </c>
      <c r="E263" s="87" t="s">
        <v>535</v>
      </c>
      <c r="F263" s="88">
        <v>2000.0</v>
      </c>
      <c r="G263" s="89">
        <v>10.0</v>
      </c>
      <c r="H263" s="88">
        <v>1800.0</v>
      </c>
      <c r="I263" s="87" t="s">
        <v>899</v>
      </c>
      <c r="J263" s="88">
        <v>6700.0</v>
      </c>
      <c r="K263" s="87" t="s">
        <v>514</v>
      </c>
      <c r="L263" s="87" t="s">
        <v>492</v>
      </c>
      <c r="M263" s="87">
        <v>2.0</v>
      </c>
      <c r="N263" s="89" t="s">
        <v>493</v>
      </c>
      <c r="O263" s="87" t="s">
        <v>586</v>
      </c>
      <c r="P263" s="87" t="s">
        <v>495</v>
      </c>
      <c r="Q263" s="90" t="s">
        <v>900</v>
      </c>
      <c r="R263" s="87" t="s">
        <v>497</v>
      </c>
      <c r="S263" s="89" t="s">
        <v>901</v>
      </c>
      <c r="T263" s="89" t="s">
        <v>590</v>
      </c>
      <c r="U263" s="87" t="s">
        <v>497</v>
      </c>
      <c r="V263" s="87" t="s">
        <v>497</v>
      </c>
      <c r="W263" s="92"/>
    </row>
    <row r="264" ht="15.75" customHeight="1">
      <c r="A264" s="87" t="s">
        <v>902</v>
      </c>
      <c r="B264" s="87" t="s">
        <v>398</v>
      </c>
      <c r="C264" s="87" t="s">
        <v>570</v>
      </c>
      <c r="D264" s="88">
        <v>2000.0</v>
      </c>
      <c r="E264" s="87" t="s">
        <v>596</v>
      </c>
      <c r="F264" s="88">
        <v>2000.0</v>
      </c>
      <c r="G264" s="89">
        <v>10.0</v>
      </c>
      <c r="H264" s="88">
        <v>1800.0</v>
      </c>
      <c r="I264" s="87" t="s">
        <v>899</v>
      </c>
      <c r="J264" s="88">
        <v>6700.0</v>
      </c>
      <c r="K264" s="87" t="s">
        <v>514</v>
      </c>
      <c r="L264" s="87" t="s">
        <v>492</v>
      </c>
      <c r="M264" s="87">
        <v>2.0</v>
      </c>
      <c r="N264" s="89" t="s">
        <v>493</v>
      </c>
      <c r="O264" s="87" t="s">
        <v>586</v>
      </c>
      <c r="P264" s="87" t="s">
        <v>495</v>
      </c>
      <c r="Q264" s="90" t="s">
        <v>900</v>
      </c>
      <c r="R264" s="87" t="s">
        <v>497</v>
      </c>
      <c r="S264" s="89" t="s">
        <v>901</v>
      </c>
      <c r="T264" s="89" t="s">
        <v>590</v>
      </c>
      <c r="U264" s="87" t="s">
        <v>497</v>
      </c>
      <c r="V264" s="87" t="s">
        <v>497</v>
      </c>
      <c r="W264" s="92"/>
    </row>
    <row r="265" ht="15.75" customHeight="1">
      <c r="A265" s="87" t="s">
        <v>903</v>
      </c>
      <c r="B265" s="87" t="s">
        <v>403</v>
      </c>
      <c r="C265" s="87" t="s">
        <v>517</v>
      </c>
      <c r="D265" s="88">
        <v>600.0</v>
      </c>
      <c r="E265" s="87" t="s">
        <v>755</v>
      </c>
      <c r="F265" s="88">
        <v>600.0</v>
      </c>
      <c r="G265" s="89">
        <v>4.0</v>
      </c>
      <c r="H265" s="88">
        <v>800.0</v>
      </c>
      <c r="I265" s="93">
        <v>500.0</v>
      </c>
      <c r="J265" s="88">
        <v>6500.0</v>
      </c>
      <c r="K265" s="87" t="s">
        <v>514</v>
      </c>
      <c r="L265" s="87" t="s">
        <v>507</v>
      </c>
      <c r="M265" s="87">
        <v>2.0</v>
      </c>
      <c r="N265" s="89" t="s">
        <v>493</v>
      </c>
      <c r="O265" s="87" t="s">
        <v>586</v>
      </c>
      <c r="P265" s="87" t="s">
        <v>495</v>
      </c>
      <c r="Q265" s="90" t="s">
        <v>878</v>
      </c>
      <c r="R265" s="87" t="s">
        <v>497</v>
      </c>
      <c r="S265" s="89" t="s">
        <v>552</v>
      </c>
      <c r="T265" s="89" t="s">
        <v>590</v>
      </c>
      <c r="U265" s="87" t="s">
        <v>497</v>
      </c>
      <c r="V265" s="87" t="s">
        <v>497</v>
      </c>
      <c r="W265" s="92"/>
    </row>
    <row r="266" ht="15.75" customHeight="1">
      <c r="A266" s="87" t="s">
        <v>904</v>
      </c>
      <c r="B266" s="87" t="s">
        <v>403</v>
      </c>
      <c r="C266" s="87" t="s">
        <v>570</v>
      </c>
      <c r="D266" s="88">
        <v>600.0</v>
      </c>
      <c r="E266" s="87" t="s">
        <v>512</v>
      </c>
      <c r="F266" s="88">
        <v>600.0</v>
      </c>
      <c r="G266" s="89">
        <v>4.0</v>
      </c>
      <c r="H266" s="88">
        <v>800.0</v>
      </c>
      <c r="I266" s="93">
        <v>500.0</v>
      </c>
      <c r="J266" s="88">
        <v>6500.0</v>
      </c>
      <c r="K266" s="87" t="s">
        <v>514</v>
      </c>
      <c r="L266" s="87" t="s">
        <v>507</v>
      </c>
      <c r="M266" s="87">
        <v>2.0</v>
      </c>
      <c r="N266" s="89" t="s">
        <v>493</v>
      </c>
      <c r="O266" s="87" t="s">
        <v>586</v>
      </c>
      <c r="P266" s="87" t="s">
        <v>495</v>
      </c>
      <c r="Q266" s="90" t="s">
        <v>878</v>
      </c>
      <c r="R266" s="87" t="s">
        <v>497</v>
      </c>
      <c r="S266" s="89" t="s">
        <v>552</v>
      </c>
      <c r="T266" s="89" t="s">
        <v>590</v>
      </c>
      <c r="U266" s="87" t="s">
        <v>497</v>
      </c>
      <c r="V266" s="87" t="s">
        <v>497</v>
      </c>
      <c r="W266" s="92"/>
    </row>
    <row r="267" ht="15.75" customHeight="1">
      <c r="A267" s="87" t="s">
        <v>905</v>
      </c>
      <c r="B267" s="87" t="s">
        <v>405</v>
      </c>
      <c r="C267" s="87" t="s">
        <v>517</v>
      </c>
      <c r="D267" s="88">
        <v>3000.0</v>
      </c>
      <c r="E267" s="87" t="s">
        <v>755</v>
      </c>
      <c r="F267" s="88">
        <v>3000.0</v>
      </c>
      <c r="G267" s="89">
        <v>14.0</v>
      </c>
      <c r="H267" s="88">
        <v>2500.0</v>
      </c>
      <c r="I267" s="87" t="s">
        <v>506</v>
      </c>
      <c r="J267" s="88">
        <v>7200.0</v>
      </c>
      <c r="K267" s="87" t="s">
        <v>514</v>
      </c>
      <c r="L267" s="87" t="s">
        <v>492</v>
      </c>
      <c r="M267" s="87">
        <v>2.0</v>
      </c>
      <c r="N267" s="89" t="s">
        <v>493</v>
      </c>
      <c r="O267" s="87" t="s">
        <v>586</v>
      </c>
      <c r="P267" s="87" t="s">
        <v>495</v>
      </c>
      <c r="Q267" s="90" t="s">
        <v>878</v>
      </c>
      <c r="R267" s="87" t="s">
        <v>497</v>
      </c>
      <c r="S267" s="89" t="s">
        <v>552</v>
      </c>
      <c r="T267" s="89" t="s">
        <v>612</v>
      </c>
      <c r="U267" s="87" t="s">
        <v>497</v>
      </c>
      <c r="V267" s="87" t="s">
        <v>497</v>
      </c>
      <c r="W267" s="92"/>
    </row>
    <row r="268" ht="15.75" customHeight="1">
      <c r="A268" s="87" t="s">
        <v>906</v>
      </c>
      <c r="B268" s="87" t="s">
        <v>405</v>
      </c>
      <c r="C268" s="87" t="s">
        <v>570</v>
      </c>
      <c r="D268" s="88">
        <v>3000.0</v>
      </c>
      <c r="E268" s="87" t="s">
        <v>512</v>
      </c>
      <c r="F268" s="88">
        <v>3000.0</v>
      </c>
      <c r="G268" s="89">
        <v>14.0</v>
      </c>
      <c r="H268" s="88">
        <v>2500.0</v>
      </c>
      <c r="I268" s="87" t="s">
        <v>506</v>
      </c>
      <c r="J268" s="88">
        <v>7200.0</v>
      </c>
      <c r="K268" s="87" t="s">
        <v>514</v>
      </c>
      <c r="L268" s="87" t="s">
        <v>492</v>
      </c>
      <c r="M268" s="87">
        <v>2.0</v>
      </c>
      <c r="N268" s="89" t="s">
        <v>493</v>
      </c>
      <c r="O268" s="87" t="s">
        <v>586</v>
      </c>
      <c r="P268" s="87" t="s">
        <v>495</v>
      </c>
      <c r="Q268" s="90" t="s">
        <v>878</v>
      </c>
      <c r="R268" s="87" t="s">
        <v>497</v>
      </c>
      <c r="S268" s="89" t="s">
        <v>552</v>
      </c>
      <c r="T268" s="89" t="s">
        <v>612</v>
      </c>
      <c r="U268" s="87" t="s">
        <v>497</v>
      </c>
      <c r="V268" s="87" t="s">
        <v>497</v>
      </c>
      <c r="W268" s="92"/>
    </row>
    <row r="269" ht="15.75" customHeight="1">
      <c r="A269" s="87" t="s">
        <v>907</v>
      </c>
      <c r="B269" s="87" t="s">
        <v>408</v>
      </c>
      <c r="C269" s="87" t="s">
        <v>517</v>
      </c>
      <c r="D269" s="88">
        <v>1000.0</v>
      </c>
      <c r="E269" s="87" t="s">
        <v>755</v>
      </c>
      <c r="F269" s="88">
        <v>1000.0</v>
      </c>
      <c r="G269" s="89">
        <v>4.0</v>
      </c>
      <c r="H269" s="88">
        <v>800.0</v>
      </c>
      <c r="I269" s="87" t="s">
        <v>697</v>
      </c>
      <c r="J269" s="88">
        <v>5200.0</v>
      </c>
      <c r="K269" s="87" t="s">
        <v>514</v>
      </c>
      <c r="L269" s="87" t="s">
        <v>507</v>
      </c>
      <c r="M269" s="87">
        <v>2.0</v>
      </c>
      <c r="N269" s="89" t="s">
        <v>493</v>
      </c>
      <c r="O269" s="87" t="s">
        <v>586</v>
      </c>
      <c r="P269" s="87" t="s">
        <v>495</v>
      </c>
      <c r="Q269" s="90" t="s">
        <v>908</v>
      </c>
      <c r="R269" s="87" t="s">
        <v>497</v>
      </c>
      <c r="S269" s="89" t="s">
        <v>552</v>
      </c>
      <c r="T269" s="89" t="s">
        <v>612</v>
      </c>
      <c r="U269" s="87" t="s">
        <v>497</v>
      </c>
      <c r="V269" s="87" t="s">
        <v>497</v>
      </c>
      <c r="W269" s="92"/>
    </row>
    <row r="270" ht="15.75" customHeight="1">
      <c r="A270" s="87" t="s">
        <v>909</v>
      </c>
      <c r="B270" s="87" t="s">
        <v>408</v>
      </c>
      <c r="C270" s="87" t="s">
        <v>570</v>
      </c>
      <c r="D270" s="88">
        <v>1000.0</v>
      </c>
      <c r="E270" s="87" t="s">
        <v>512</v>
      </c>
      <c r="F270" s="88">
        <v>1000.0</v>
      </c>
      <c r="G270" s="89">
        <v>4.0</v>
      </c>
      <c r="H270" s="88">
        <v>800.0</v>
      </c>
      <c r="I270" s="87" t="s">
        <v>697</v>
      </c>
      <c r="J270" s="88">
        <v>5200.0</v>
      </c>
      <c r="K270" s="87" t="s">
        <v>514</v>
      </c>
      <c r="L270" s="87" t="s">
        <v>507</v>
      </c>
      <c r="M270" s="87">
        <v>2.0</v>
      </c>
      <c r="N270" s="89" t="s">
        <v>493</v>
      </c>
      <c r="O270" s="87" t="s">
        <v>586</v>
      </c>
      <c r="P270" s="87" t="s">
        <v>495</v>
      </c>
      <c r="Q270" s="90" t="s">
        <v>908</v>
      </c>
      <c r="R270" s="87" t="s">
        <v>497</v>
      </c>
      <c r="S270" s="89" t="s">
        <v>552</v>
      </c>
      <c r="T270" s="89" t="s">
        <v>612</v>
      </c>
      <c r="U270" s="87" t="s">
        <v>497</v>
      </c>
      <c r="V270" s="87" t="s">
        <v>497</v>
      </c>
      <c r="W270" s="92"/>
    </row>
    <row r="271" ht="15.75" customHeight="1">
      <c r="A271" s="87" t="s">
        <v>910</v>
      </c>
      <c r="B271" s="87" t="s">
        <v>410</v>
      </c>
      <c r="C271" s="87" t="s">
        <v>517</v>
      </c>
      <c r="D271" s="88">
        <v>1400.0</v>
      </c>
      <c r="E271" s="87" t="s">
        <v>755</v>
      </c>
      <c r="F271" s="88">
        <v>1400.0</v>
      </c>
      <c r="G271" s="89">
        <v>6.0</v>
      </c>
      <c r="H271" s="88">
        <v>1000.0</v>
      </c>
      <c r="I271" s="87" t="s">
        <v>513</v>
      </c>
      <c r="J271" s="88">
        <v>7000.0</v>
      </c>
      <c r="K271" s="87" t="s">
        <v>514</v>
      </c>
      <c r="L271" s="87" t="s">
        <v>507</v>
      </c>
      <c r="M271" s="87">
        <v>2.0</v>
      </c>
      <c r="N271" s="89" t="s">
        <v>493</v>
      </c>
      <c r="O271" s="87" t="s">
        <v>586</v>
      </c>
      <c r="P271" s="87" t="s">
        <v>495</v>
      </c>
      <c r="Q271" s="90" t="s">
        <v>911</v>
      </c>
      <c r="R271" s="87" t="s">
        <v>497</v>
      </c>
      <c r="S271" s="89" t="s">
        <v>552</v>
      </c>
      <c r="T271" s="89" t="s">
        <v>590</v>
      </c>
      <c r="U271" s="87" t="s">
        <v>497</v>
      </c>
      <c r="V271" s="87" t="s">
        <v>497</v>
      </c>
      <c r="W271" s="92"/>
    </row>
    <row r="272" ht="15.75" customHeight="1">
      <c r="A272" s="87" t="s">
        <v>912</v>
      </c>
      <c r="B272" s="87" t="s">
        <v>410</v>
      </c>
      <c r="C272" s="87" t="s">
        <v>570</v>
      </c>
      <c r="D272" s="88">
        <v>1400.0</v>
      </c>
      <c r="E272" s="87" t="s">
        <v>512</v>
      </c>
      <c r="F272" s="88">
        <v>1400.0</v>
      </c>
      <c r="G272" s="89">
        <v>6.0</v>
      </c>
      <c r="H272" s="88">
        <v>1000.0</v>
      </c>
      <c r="I272" s="87" t="s">
        <v>513</v>
      </c>
      <c r="J272" s="88">
        <v>7000.0</v>
      </c>
      <c r="K272" s="87" t="s">
        <v>514</v>
      </c>
      <c r="L272" s="87" t="s">
        <v>507</v>
      </c>
      <c r="M272" s="87">
        <v>2.0</v>
      </c>
      <c r="N272" s="89" t="s">
        <v>493</v>
      </c>
      <c r="O272" s="87" t="s">
        <v>586</v>
      </c>
      <c r="P272" s="87" t="s">
        <v>495</v>
      </c>
      <c r="Q272" s="90" t="s">
        <v>911</v>
      </c>
      <c r="R272" s="87" t="s">
        <v>497</v>
      </c>
      <c r="S272" s="89" t="s">
        <v>552</v>
      </c>
      <c r="T272" s="89" t="s">
        <v>590</v>
      </c>
      <c r="U272" s="87" t="s">
        <v>497</v>
      </c>
      <c r="V272" s="87" t="s">
        <v>497</v>
      </c>
      <c r="W272" s="92"/>
    </row>
    <row r="273" ht="15.75" customHeight="1">
      <c r="A273" s="87" t="s">
        <v>913</v>
      </c>
      <c r="B273" s="87" t="s">
        <v>412</v>
      </c>
      <c r="C273" s="87" t="s">
        <v>517</v>
      </c>
      <c r="D273" s="88">
        <v>1000.0</v>
      </c>
      <c r="E273" s="87" t="s">
        <v>755</v>
      </c>
      <c r="F273" s="88">
        <v>1000.0</v>
      </c>
      <c r="G273" s="89">
        <v>6.0</v>
      </c>
      <c r="H273" s="88">
        <v>1000.0</v>
      </c>
      <c r="I273" s="87" t="s">
        <v>524</v>
      </c>
      <c r="J273" s="88">
        <v>5000.0</v>
      </c>
      <c r="K273" s="87" t="s">
        <v>514</v>
      </c>
      <c r="L273" s="87" t="s">
        <v>507</v>
      </c>
      <c r="M273" s="87">
        <v>2.0</v>
      </c>
      <c r="N273" s="89" t="s">
        <v>493</v>
      </c>
      <c r="O273" s="87" t="s">
        <v>586</v>
      </c>
      <c r="P273" s="87" t="s">
        <v>495</v>
      </c>
      <c r="Q273" s="90" t="s">
        <v>908</v>
      </c>
      <c r="R273" s="87" t="s">
        <v>497</v>
      </c>
      <c r="S273" s="89" t="s">
        <v>914</v>
      </c>
      <c r="T273" s="89" t="s">
        <v>590</v>
      </c>
      <c r="U273" s="87" t="s">
        <v>497</v>
      </c>
      <c r="V273" s="87" t="s">
        <v>497</v>
      </c>
      <c r="W273" s="92"/>
    </row>
    <row r="274" ht="15.75" customHeight="1">
      <c r="A274" s="87" t="s">
        <v>915</v>
      </c>
      <c r="B274" s="87" t="s">
        <v>412</v>
      </c>
      <c r="C274" s="87" t="s">
        <v>570</v>
      </c>
      <c r="D274" s="88">
        <v>1000.0</v>
      </c>
      <c r="E274" s="87" t="s">
        <v>512</v>
      </c>
      <c r="F274" s="88">
        <v>1000.0</v>
      </c>
      <c r="G274" s="89">
        <v>6.0</v>
      </c>
      <c r="H274" s="88">
        <v>1000.0</v>
      </c>
      <c r="I274" s="87" t="s">
        <v>524</v>
      </c>
      <c r="J274" s="88">
        <v>5000.0</v>
      </c>
      <c r="K274" s="87" t="s">
        <v>514</v>
      </c>
      <c r="L274" s="87" t="s">
        <v>507</v>
      </c>
      <c r="M274" s="87">
        <v>2.0</v>
      </c>
      <c r="N274" s="89" t="s">
        <v>493</v>
      </c>
      <c r="O274" s="87" t="s">
        <v>586</v>
      </c>
      <c r="P274" s="87" t="s">
        <v>495</v>
      </c>
      <c r="Q274" s="90" t="s">
        <v>908</v>
      </c>
      <c r="R274" s="87" t="s">
        <v>497</v>
      </c>
      <c r="S274" s="89" t="s">
        <v>914</v>
      </c>
      <c r="T274" s="89" t="s">
        <v>590</v>
      </c>
      <c r="U274" s="87" t="s">
        <v>497</v>
      </c>
      <c r="V274" s="87" t="s">
        <v>497</v>
      </c>
      <c r="W274" s="92"/>
    </row>
    <row r="275" ht="15.75" customHeight="1">
      <c r="A275" s="87" t="s">
        <v>916</v>
      </c>
      <c r="B275" s="87" t="s">
        <v>415</v>
      </c>
      <c r="C275" s="87" t="s">
        <v>517</v>
      </c>
      <c r="D275" s="88">
        <v>800.0</v>
      </c>
      <c r="E275" s="87" t="s">
        <v>755</v>
      </c>
      <c r="F275" s="88">
        <v>800.0</v>
      </c>
      <c r="G275" s="89">
        <v>3.0</v>
      </c>
      <c r="H275" s="88">
        <v>500.0</v>
      </c>
      <c r="I275" s="87" t="s">
        <v>600</v>
      </c>
      <c r="J275" s="88">
        <v>7000.0</v>
      </c>
      <c r="K275" s="87" t="s">
        <v>514</v>
      </c>
      <c r="L275" s="87" t="s">
        <v>492</v>
      </c>
      <c r="M275" s="87">
        <v>2.0</v>
      </c>
      <c r="N275" s="89" t="s">
        <v>493</v>
      </c>
      <c r="O275" s="87" t="s">
        <v>586</v>
      </c>
      <c r="P275" s="87" t="s">
        <v>495</v>
      </c>
      <c r="Q275" s="90" t="s">
        <v>878</v>
      </c>
      <c r="R275" s="87" t="s">
        <v>497</v>
      </c>
      <c r="S275" s="89" t="s">
        <v>917</v>
      </c>
      <c r="T275" s="89" t="s">
        <v>601</v>
      </c>
      <c r="U275" s="87" t="s">
        <v>497</v>
      </c>
      <c r="V275" s="87" t="s">
        <v>497</v>
      </c>
      <c r="W275" s="92"/>
    </row>
    <row r="276" ht="15.75" customHeight="1">
      <c r="A276" s="87" t="s">
        <v>918</v>
      </c>
      <c r="B276" s="87" t="s">
        <v>415</v>
      </c>
      <c r="C276" s="87" t="s">
        <v>570</v>
      </c>
      <c r="D276" s="88">
        <v>800.0</v>
      </c>
      <c r="E276" s="87" t="s">
        <v>512</v>
      </c>
      <c r="F276" s="88">
        <v>800.0</v>
      </c>
      <c r="G276" s="89">
        <v>3.0</v>
      </c>
      <c r="H276" s="88">
        <v>500.0</v>
      </c>
      <c r="I276" s="87" t="s">
        <v>600</v>
      </c>
      <c r="J276" s="88">
        <v>7000.0</v>
      </c>
      <c r="K276" s="87" t="s">
        <v>514</v>
      </c>
      <c r="L276" s="87" t="s">
        <v>492</v>
      </c>
      <c r="M276" s="87">
        <v>2.0</v>
      </c>
      <c r="N276" s="89" t="s">
        <v>493</v>
      </c>
      <c r="O276" s="87" t="s">
        <v>586</v>
      </c>
      <c r="P276" s="87" t="s">
        <v>495</v>
      </c>
      <c r="Q276" s="90" t="s">
        <v>878</v>
      </c>
      <c r="R276" s="87" t="s">
        <v>497</v>
      </c>
      <c r="S276" s="89" t="s">
        <v>917</v>
      </c>
      <c r="T276" s="89" t="s">
        <v>601</v>
      </c>
      <c r="U276" s="87" t="s">
        <v>497</v>
      </c>
      <c r="V276" s="87" t="s">
        <v>497</v>
      </c>
      <c r="W276" s="92"/>
    </row>
    <row r="277" ht="15.75" customHeight="1">
      <c r="A277" s="87" t="s">
        <v>919</v>
      </c>
      <c r="B277" s="87" t="s">
        <v>417</v>
      </c>
      <c r="C277" s="87" t="s">
        <v>517</v>
      </c>
      <c r="D277" s="88">
        <v>800.0</v>
      </c>
      <c r="E277" s="87" t="s">
        <v>755</v>
      </c>
      <c r="F277" s="88">
        <v>800.0</v>
      </c>
      <c r="G277" s="89">
        <v>3.0</v>
      </c>
      <c r="H277" s="88">
        <v>600.0</v>
      </c>
      <c r="I277" s="87" t="s">
        <v>600</v>
      </c>
      <c r="J277" s="88">
        <v>7000.0</v>
      </c>
      <c r="K277" s="87" t="s">
        <v>514</v>
      </c>
      <c r="L277" s="87" t="s">
        <v>507</v>
      </c>
      <c r="M277" s="87">
        <v>2.0</v>
      </c>
      <c r="N277" s="89" t="s">
        <v>493</v>
      </c>
      <c r="O277" s="87" t="s">
        <v>586</v>
      </c>
      <c r="P277" s="87" t="s">
        <v>495</v>
      </c>
      <c r="Q277" s="90" t="s">
        <v>900</v>
      </c>
      <c r="R277" s="87" t="s">
        <v>497</v>
      </c>
      <c r="S277" s="89" t="s">
        <v>552</v>
      </c>
      <c r="T277" s="89" t="s">
        <v>590</v>
      </c>
      <c r="U277" s="87" t="s">
        <v>497</v>
      </c>
      <c r="V277" s="87" t="s">
        <v>497</v>
      </c>
      <c r="W277" s="92"/>
    </row>
    <row r="278" ht="15.75" customHeight="1">
      <c r="A278" s="87" t="s">
        <v>920</v>
      </c>
      <c r="B278" s="87" t="s">
        <v>417</v>
      </c>
      <c r="C278" s="87" t="s">
        <v>570</v>
      </c>
      <c r="D278" s="88">
        <v>800.0</v>
      </c>
      <c r="E278" s="87" t="s">
        <v>512</v>
      </c>
      <c r="F278" s="88">
        <v>800.0</v>
      </c>
      <c r="G278" s="89">
        <v>3.0</v>
      </c>
      <c r="H278" s="88">
        <v>600.0</v>
      </c>
      <c r="I278" s="87" t="s">
        <v>600</v>
      </c>
      <c r="J278" s="88">
        <v>7000.0</v>
      </c>
      <c r="K278" s="87" t="s">
        <v>514</v>
      </c>
      <c r="L278" s="87" t="s">
        <v>507</v>
      </c>
      <c r="M278" s="87">
        <v>2.0</v>
      </c>
      <c r="N278" s="89" t="s">
        <v>493</v>
      </c>
      <c r="O278" s="87" t="s">
        <v>586</v>
      </c>
      <c r="P278" s="87" t="s">
        <v>495</v>
      </c>
      <c r="Q278" s="90" t="s">
        <v>900</v>
      </c>
      <c r="R278" s="87" t="s">
        <v>497</v>
      </c>
      <c r="S278" s="89" t="s">
        <v>552</v>
      </c>
      <c r="T278" s="89" t="s">
        <v>590</v>
      </c>
      <c r="U278" s="87" t="s">
        <v>497</v>
      </c>
      <c r="V278" s="87" t="s">
        <v>497</v>
      </c>
      <c r="W278" s="92"/>
    </row>
    <row r="279" ht="15.75" customHeight="1">
      <c r="A279" s="87" t="s">
        <v>921</v>
      </c>
      <c r="B279" s="87" t="s">
        <v>419</v>
      </c>
      <c r="C279" s="87" t="s">
        <v>517</v>
      </c>
      <c r="D279" s="88">
        <v>1300.0</v>
      </c>
      <c r="E279" s="87" t="s">
        <v>755</v>
      </c>
      <c r="F279" s="88">
        <v>1300.0</v>
      </c>
      <c r="G279" s="89">
        <v>7.0</v>
      </c>
      <c r="H279" s="88">
        <v>1200.0</v>
      </c>
      <c r="I279" s="87" t="s">
        <v>810</v>
      </c>
      <c r="J279" s="88">
        <v>6500.0</v>
      </c>
      <c r="K279" s="87" t="s">
        <v>514</v>
      </c>
      <c r="L279" s="87" t="s">
        <v>507</v>
      </c>
      <c r="M279" s="87">
        <v>2.0</v>
      </c>
      <c r="N279" s="89" t="s">
        <v>493</v>
      </c>
      <c r="O279" s="87" t="s">
        <v>586</v>
      </c>
      <c r="P279" s="87" t="s">
        <v>495</v>
      </c>
      <c r="Q279" s="90" t="s">
        <v>922</v>
      </c>
      <c r="R279" s="87" t="s">
        <v>497</v>
      </c>
      <c r="S279" s="89" t="s">
        <v>552</v>
      </c>
      <c r="T279" s="89" t="s">
        <v>590</v>
      </c>
      <c r="U279" s="87" t="s">
        <v>497</v>
      </c>
      <c r="V279" s="87" t="s">
        <v>497</v>
      </c>
      <c r="W279" s="92"/>
    </row>
    <row r="280" ht="15.75" customHeight="1">
      <c r="A280" s="87" t="s">
        <v>923</v>
      </c>
      <c r="B280" s="87" t="s">
        <v>419</v>
      </c>
      <c r="C280" s="87" t="s">
        <v>570</v>
      </c>
      <c r="D280" s="88">
        <v>1300.0</v>
      </c>
      <c r="E280" s="87" t="s">
        <v>512</v>
      </c>
      <c r="F280" s="88">
        <v>1300.0</v>
      </c>
      <c r="G280" s="89">
        <v>7.0</v>
      </c>
      <c r="H280" s="88">
        <v>1200.0</v>
      </c>
      <c r="I280" s="87" t="s">
        <v>810</v>
      </c>
      <c r="J280" s="88">
        <v>6500.0</v>
      </c>
      <c r="K280" s="87" t="s">
        <v>514</v>
      </c>
      <c r="L280" s="87" t="s">
        <v>507</v>
      </c>
      <c r="M280" s="87">
        <v>2.0</v>
      </c>
      <c r="N280" s="89" t="s">
        <v>493</v>
      </c>
      <c r="O280" s="87" t="s">
        <v>586</v>
      </c>
      <c r="P280" s="87" t="s">
        <v>495</v>
      </c>
      <c r="Q280" s="90" t="s">
        <v>922</v>
      </c>
      <c r="R280" s="87" t="s">
        <v>497</v>
      </c>
      <c r="S280" s="89" t="s">
        <v>552</v>
      </c>
      <c r="T280" s="89" t="s">
        <v>590</v>
      </c>
      <c r="U280" s="87" t="s">
        <v>497</v>
      </c>
      <c r="V280" s="87" t="s">
        <v>497</v>
      </c>
      <c r="W280" s="92"/>
    </row>
    <row r="281" ht="15.75" customHeight="1">
      <c r="A281" s="87" t="s">
        <v>924</v>
      </c>
      <c r="B281" s="87" t="s">
        <v>421</v>
      </c>
      <c r="C281" s="87" t="s">
        <v>517</v>
      </c>
      <c r="D281" s="88">
        <v>2000.0</v>
      </c>
      <c r="E281" s="87" t="s">
        <v>755</v>
      </c>
      <c r="F281" s="88">
        <v>2000.0</v>
      </c>
      <c r="G281" s="89">
        <v>10.0</v>
      </c>
      <c r="H281" s="88">
        <v>1800.0</v>
      </c>
      <c r="I281" s="87" t="s">
        <v>513</v>
      </c>
      <c r="J281" s="88">
        <v>6500.0</v>
      </c>
      <c r="K281" s="87" t="s">
        <v>514</v>
      </c>
      <c r="L281" s="87" t="s">
        <v>507</v>
      </c>
      <c r="M281" s="87">
        <v>2.0</v>
      </c>
      <c r="N281" s="89" t="s">
        <v>493</v>
      </c>
      <c r="O281" s="87" t="s">
        <v>586</v>
      </c>
      <c r="P281" s="87" t="s">
        <v>495</v>
      </c>
      <c r="Q281" s="90" t="s">
        <v>900</v>
      </c>
      <c r="R281" s="87" t="s">
        <v>497</v>
      </c>
      <c r="S281" s="89" t="s">
        <v>552</v>
      </c>
      <c r="T281" s="89" t="s">
        <v>601</v>
      </c>
      <c r="U281" s="87" t="s">
        <v>497</v>
      </c>
      <c r="V281" s="87" t="s">
        <v>497</v>
      </c>
      <c r="W281" s="92"/>
    </row>
    <row r="282" ht="15.75" customHeight="1">
      <c r="A282" s="87" t="s">
        <v>925</v>
      </c>
      <c r="B282" s="87" t="s">
        <v>421</v>
      </c>
      <c r="C282" s="87" t="s">
        <v>570</v>
      </c>
      <c r="D282" s="88">
        <v>2000.0</v>
      </c>
      <c r="E282" s="87" t="s">
        <v>512</v>
      </c>
      <c r="F282" s="88">
        <v>2000.0</v>
      </c>
      <c r="G282" s="89">
        <v>10.0</v>
      </c>
      <c r="H282" s="88">
        <v>1800.0</v>
      </c>
      <c r="I282" s="87" t="s">
        <v>513</v>
      </c>
      <c r="J282" s="88">
        <v>6500.0</v>
      </c>
      <c r="K282" s="87" t="s">
        <v>514</v>
      </c>
      <c r="L282" s="87" t="s">
        <v>507</v>
      </c>
      <c r="M282" s="87">
        <v>2.0</v>
      </c>
      <c r="N282" s="89" t="s">
        <v>493</v>
      </c>
      <c r="O282" s="87" t="s">
        <v>586</v>
      </c>
      <c r="P282" s="87" t="s">
        <v>495</v>
      </c>
      <c r="Q282" s="90" t="s">
        <v>900</v>
      </c>
      <c r="R282" s="87" t="s">
        <v>497</v>
      </c>
      <c r="S282" s="89" t="s">
        <v>552</v>
      </c>
      <c r="T282" s="89" t="s">
        <v>601</v>
      </c>
      <c r="U282" s="87" t="s">
        <v>497</v>
      </c>
      <c r="V282" s="87" t="s">
        <v>497</v>
      </c>
      <c r="W282" s="92"/>
    </row>
    <row r="283" ht="15.75" customHeight="1">
      <c r="A283" s="87" t="s">
        <v>926</v>
      </c>
      <c r="B283" s="87" t="s">
        <v>423</v>
      </c>
      <c r="C283" s="87" t="s">
        <v>517</v>
      </c>
      <c r="D283" s="88">
        <v>5000.0</v>
      </c>
      <c r="E283" s="87" t="s">
        <v>535</v>
      </c>
      <c r="F283" s="88">
        <v>5000.0</v>
      </c>
      <c r="G283" s="89"/>
      <c r="H283" s="88">
        <v>5000.0</v>
      </c>
      <c r="I283" s="87" t="s">
        <v>490</v>
      </c>
      <c r="J283" s="88">
        <v>6500.0</v>
      </c>
      <c r="K283" s="87" t="s">
        <v>514</v>
      </c>
      <c r="L283" s="87" t="s">
        <v>507</v>
      </c>
      <c r="M283" s="87">
        <v>2.0</v>
      </c>
      <c r="N283" s="89" t="s">
        <v>493</v>
      </c>
      <c r="O283" s="87" t="s">
        <v>586</v>
      </c>
      <c r="P283" s="87" t="s">
        <v>495</v>
      </c>
      <c r="Q283" s="90" t="s">
        <v>679</v>
      </c>
      <c r="R283" s="87" t="s">
        <v>497</v>
      </c>
      <c r="S283" s="89" t="s">
        <v>552</v>
      </c>
      <c r="T283" s="89" t="s">
        <v>590</v>
      </c>
      <c r="U283" s="87" t="s">
        <v>491</v>
      </c>
      <c r="V283" s="87" t="s">
        <v>497</v>
      </c>
      <c r="W283" s="92"/>
    </row>
    <row r="284" ht="15.75" customHeight="1">
      <c r="A284" s="87" t="s">
        <v>927</v>
      </c>
      <c r="B284" s="87" t="s">
        <v>423</v>
      </c>
      <c r="C284" s="87" t="s">
        <v>570</v>
      </c>
      <c r="D284" s="88">
        <v>5000.0</v>
      </c>
      <c r="E284" s="87" t="s">
        <v>596</v>
      </c>
      <c r="F284" s="88">
        <v>5000.0</v>
      </c>
      <c r="G284" s="89"/>
      <c r="H284" s="88">
        <v>5000.0</v>
      </c>
      <c r="I284" s="87" t="s">
        <v>490</v>
      </c>
      <c r="J284" s="88">
        <v>6500.0</v>
      </c>
      <c r="K284" s="87" t="s">
        <v>514</v>
      </c>
      <c r="L284" s="87" t="s">
        <v>507</v>
      </c>
      <c r="M284" s="87">
        <v>2.0</v>
      </c>
      <c r="N284" s="89" t="s">
        <v>493</v>
      </c>
      <c r="O284" s="87" t="s">
        <v>586</v>
      </c>
      <c r="P284" s="87" t="s">
        <v>495</v>
      </c>
      <c r="Q284" s="90" t="s">
        <v>679</v>
      </c>
      <c r="R284" s="87" t="s">
        <v>497</v>
      </c>
      <c r="S284" s="89" t="s">
        <v>552</v>
      </c>
      <c r="T284" s="89" t="s">
        <v>590</v>
      </c>
      <c r="U284" s="87" t="s">
        <v>491</v>
      </c>
      <c r="V284" s="87" t="s">
        <v>497</v>
      </c>
      <c r="W284" s="92"/>
    </row>
    <row r="285" ht="15.75" customHeight="1">
      <c r="A285" s="87" t="s">
        <v>928</v>
      </c>
      <c r="B285" s="87" t="s">
        <v>427</v>
      </c>
      <c r="C285" s="87" t="s">
        <v>517</v>
      </c>
      <c r="D285" s="88">
        <v>6500.0</v>
      </c>
      <c r="E285" s="87" t="s">
        <v>535</v>
      </c>
      <c r="F285" s="88">
        <v>6500.0</v>
      </c>
      <c r="G285" s="89"/>
      <c r="H285" s="88">
        <v>9000.0</v>
      </c>
      <c r="I285" s="87" t="s">
        <v>810</v>
      </c>
      <c r="J285" s="88">
        <v>6800.0</v>
      </c>
      <c r="K285" s="87" t="s">
        <v>514</v>
      </c>
      <c r="L285" s="87" t="s">
        <v>507</v>
      </c>
      <c r="M285" s="87">
        <v>2.0</v>
      </c>
      <c r="N285" s="89" t="s">
        <v>493</v>
      </c>
      <c r="O285" s="87" t="s">
        <v>586</v>
      </c>
      <c r="P285" s="87" t="s">
        <v>495</v>
      </c>
      <c r="Q285" s="90" t="s">
        <v>679</v>
      </c>
      <c r="R285" s="87" t="s">
        <v>497</v>
      </c>
      <c r="S285" s="89" t="s">
        <v>552</v>
      </c>
      <c r="T285" s="89" t="s">
        <v>590</v>
      </c>
      <c r="U285" s="87" t="s">
        <v>491</v>
      </c>
      <c r="V285" s="87" t="s">
        <v>497</v>
      </c>
      <c r="W285" s="92"/>
    </row>
    <row r="286" ht="15.75" customHeight="1">
      <c r="A286" s="87" t="s">
        <v>929</v>
      </c>
      <c r="B286" s="87" t="s">
        <v>427</v>
      </c>
      <c r="C286" s="87" t="s">
        <v>570</v>
      </c>
      <c r="D286" s="88">
        <v>6500.0</v>
      </c>
      <c r="E286" s="87" t="s">
        <v>596</v>
      </c>
      <c r="F286" s="88">
        <v>6500.0</v>
      </c>
      <c r="G286" s="89"/>
      <c r="H286" s="88">
        <v>9000.0</v>
      </c>
      <c r="I286" s="87" t="s">
        <v>930</v>
      </c>
      <c r="J286" s="88">
        <v>6800.0</v>
      </c>
      <c r="K286" s="87" t="s">
        <v>514</v>
      </c>
      <c r="L286" s="87" t="s">
        <v>507</v>
      </c>
      <c r="M286" s="87">
        <v>2.0</v>
      </c>
      <c r="N286" s="89" t="s">
        <v>493</v>
      </c>
      <c r="O286" s="87" t="s">
        <v>586</v>
      </c>
      <c r="P286" s="87" t="s">
        <v>495</v>
      </c>
      <c r="Q286" s="90" t="s">
        <v>679</v>
      </c>
      <c r="R286" s="87" t="s">
        <v>497</v>
      </c>
      <c r="S286" s="89" t="s">
        <v>552</v>
      </c>
      <c r="T286" s="89" t="s">
        <v>590</v>
      </c>
      <c r="U286" s="87" t="s">
        <v>491</v>
      </c>
      <c r="V286" s="87" t="s">
        <v>497</v>
      </c>
      <c r="W286" s="92"/>
    </row>
    <row r="287" ht="15.75" customHeight="1">
      <c r="A287" s="87" t="s">
        <v>931</v>
      </c>
      <c r="B287" s="87" t="s">
        <v>429</v>
      </c>
      <c r="C287" s="87" t="s">
        <v>517</v>
      </c>
      <c r="D287" s="88">
        <v>2000.0</v>
      </c>
      <c r="E287" s="87" t="s">
        <v>535</v>
      </c>
      <c r="F287" s="88">
        <v>2000.0</v>
      </c>
      <c r="G287" s="89"/>
      <c r="H287" s="88">
        <v>9000.0</v>
      </c>
      <c r="I287" s="87" t="s">
        <v>810</v>
      </c>
      <c r="J287" s="88">
        <v>6800.0</v>
      </c>
      <c r="K287" s="87" t="s">
        <v>514</v>
      </c>
      <c r="L287" s="87" t="s">
        <v>507</v>
      </c>
      <c r="M287" s="87">
        <v>2.0</v>
      </c>
      <c r="N287" s="89" t="s">
        <v>493</v>
      </c>
      <c r="O287" s="87" t="s">
        <v>586</v>
      </c>
      <c r="P287" s="87" t="s">
        <v>495</v>
      </c>
      <c r="Q287" s="90" t="s">
        <v>679</v>
      </c>
      <c r="R287" s="87" t="s">
        <v>497</v>
      </c>
      <c r="S287" s="89" t="s">
        <v>552</v>
      </c>
      <c r="T287" s="89" t="s">
        <v>590</v>
      </c>
      <c r="U287" s="87" t="s">
        <v>491</v>
      </c>
      <c r="V287" s="87" t="s">
        <v>497</v>
      </c>
      <c r="W287" s="92"/>
    </row>
    <row r="288" ht="15.75" customHeight="1">
      <c r="A288" s="87" t="s">
        <v>929</v>
      </c>
      <c r="B288" s="87" t="s">
        <v>427</v>
      </c>
      <c r="C288" s="87" t="s">
        <v>570</v>
      </c>
      <c r="D288" s="88">
        <v>6500.0</v>
      </c>
      <c r="E288" s="87" t="s">
        <v>596</v>
      </c>
      <c r="F288" s="88">
        <v>6500.0</v>
      </c>
      <c r="G288" s="89"/>
      <c r="H288" s="88">
        <v>9000.0</v>
      </c>
      <c r="I288" s="87" t="s">
        <v>810</v>
      </c>
      <c r="J288" s="88">
        <v>6800.0</v>
      </c>
      <c r="K288" s="87" t="s">
        <v>514</v>
      </c>
      <c r="L288" s="87" t="s">
        <v>507</v>
      </c>
      <c r="M288" s="87">
        <v>2.0</v>
      </c>
      <c r="N288" s="89" t="s">
        <v>493</v>
      </c>
      <c r="O288" s="87" t="s">
        <v>586</v>
      </c>
      <c r="P288" s="87" t="s">
        <v>495</v>
      </c>
      <c r="Q288" s="90" t="s">
        <v>679</v>
      </c>
      <c r="R288" s="87" t="s">
        <v>497</v>
      </c>
      <c r="S288" s="89" t="s">
        <v>552</v>
      </c>
      <c r="T288" s="89" t="s">
        <v>590</v>
      </c>
      <c r="U288" s="87" t="s">
        <v>491</v>
      </c>
      <c r="V288" s="87" t="s">
        <v>497</v>
      </c>
      <c r="W288" s="92"/>
    </row>
    <row r="289" ht="15.75" customHeight="1">
      <c r="A289" s="87" t="s">
        <v>932</v>
      </c>
      <c r="B289" s="87" t="s">
        <v>431</v>
      </c>
      <c r="C289" s="87" t="s">
        <v>517</v>
      </c>
      <c r="D289" s="88">
        <v>3400.0</v>
      </c>
      <c r="E289" s="87" t="s">
        <v>535</v>
      </c>
      <c r="F289" s="88">
        <v>3400.0</v>
      </c>
      <c r="G289" s="89"/>
      <c r="H289" s="88">
        <v>1000.0</v>
      </c>
      <c r="I289" s="87" t="s">
        <v>600</v>
      </c>
      <c r="J289" s="88">
        <v>7000.0</v>
      </c>
      <c r="K289" s="87" t="s">
        <v>514</v>
      </c>
      <c r="L289" s="87" t="s">
        <v>507</v>
      </c>
      <c r="M289" s="87">
        <v>2.0</v>
      </c>
      <c r="N289" s="89" t="s">
        <v>493</v>
      </c>
      <c r="O289" s="87" t="s">
        <v>586</v>
      </c>
      <c r="P289" s="87" t="s">
        <v>495</v>
      </c>
      <c r="Q289" s="90" t="s">
        <v>679</v>
      </c>
      <c r="R289" s="87" t="s">
        <v>497</v>
      </c>
      <c r="S289" s="89" t="s">
        <v>552</v>
      </c>
      <c r="T289" s="89" t="s">
        <v>590</v>
      </c>
      <c r="U289" s="87" t="s">
        <v>491</v>
      </c>
      <c r="V289" s="87" t="s">
        <v>497</v>
      </c>
      <c r="W289" s="92"/>
    </row>
    <row r="290" ht="15.75" customHeight="1">
      <c r="A290" s="87" t="s">
        <v>929</v>
      </c>
      <c r="B290" s="87" t="s">
        <v>433</v>
      </c>
      <c r="C290" s="87" t="s">
        <v>570</v>
      </c>
      <c r="D290" s="88">
        <v>3400.0</v>
      </c>
      <c r="E290" s="87" t="s">
        <v>596</v>
      </c>
      <c r="F290" s="88">
        <v>3400.0</v>
      </c>
      <c r="G290" s="89"/>
      <c r="H290" s="88">
        <v>1000.0</v>
      </c>
      <c r="I290" s="87" t="s">
        <v>930</v>
      </c>
      <c r="J290" s="88">
        <v>7000.0</v>
      </c>
      <c r="K290" s="87" t="s">
        <v>514</v>
      </c>
      <c r="L290" s="87" t="s">
        <v>507</v>
      </c>
      <c r="M290" s="87">
        <v>2.0</v>
      </c>
      <c r="N290" s="89" t="s">
        <v>493</v>
      </c>
      <c r="O290" s="87" t="s">
        <v>586</v>
      </c>
      <c r="P290" s="87" t="s">
        <v>495</v>
      </c>
      <c r="Q290" s="90" t="s">
        <v>679</v>
      </c>
      <c r="R290" s="87" t="s">
        <v>497</v>
      </c>
      <c r="S290" s="89" t="s">
        <v>552</v>
      </c>
      <c r="T290" s="89" t="s">
        <v>590</v>
      </c>
      <c r="U290" s="87" t="s">
        <v>491</v>
      </c>
      <c r="V290" s="87" t="s">
        <v>497</v>
      </c>
      <c r="W290" s="92"/>
    </row>
    <row r="291" ht="15.75" customHeight="1">
      <c r="A291" s="87" t="s">
        <v>933</v>
      </c>
      <c r="B291" s="87" t="s">
        <v>433</v>
      </c>
      <c r="C291" s="87" t="s">
        <v>517</v>
      </c>
      <c r="D291" s="88">
        <v>900.0</v>
      </c>
      <c r="E291" s="87" t="s">
        <v>535</v>
      </c>
      <c r="F291" s="88">
        <v>900.0</v>
      </c>
      <c r="G291" s="89"/>
      <c r="H291" s="88">
        <v>800.0</v>
      </c>
      <c r="I291" s="87" t="s">
        <v>600</v>
      </c>
      <c r="J291" s="88">
        <v>7000.0</v>
      </c>
      <c r="K291" s="87" t="s">
        <v>514</v>
      </c>
      <c r="L291" s="87" t="s">
        <v>507</v>
      </c>
      <c r="M291" s="87">
        <v>2.0</v>
      </c>
      <c r="N291" s="89" t="s">
        <v>493</v>
      </c>
      <c r="O291" s="87" t="s">
        <v>586</v>
      </c>
      <c r="P291" s="87" t="s">
        <v>495</v>
      </c>
      <c r="Q291" s="90" t="s">
        <v>679</v>
      </c>
      <c r="R291" s="87" t="s">
        <v>497</v>
      </c>
      <c r="S291" s="89" t="s">
        <v>552</v>
      </c>
      <c r="T291" s="89" t="s">
        <v>590</v>
      </c>
      <c r="U291" s="87" t="s">
        <v>491</v>
      </c>
      <c r="V291" s="87" t="s">
        <v>497</v>
      </c>
      <c r="W291" s="92"/>
    </row>
    <row r="292" ht="15.75" customHeight="1">
      <c r="A292" s="87" t="s">
        <v>929</v>
      </c>
      <c r="B292" s="87" t="s">
        <v>433</v>
      </c>
      <c r="C292" s="87" t="s">
        <v>570</v>
      </c>
      <c r="D292" s="88">
        <v>900.0</v>
      </c>
      <c r="E292" s="87" t="s">
        <v>596</v>
      </c>
      <c r="F292" s="88">
        <v>900.0</v>
      </c>
      <c r="G292" s="89"/>
      <c r="H292" s="88">
        <v>800.0</v>
      </c>
      <c r="I292" s="87" t="s">
        <v>934</v>
      </c>
      <c r="J292" s="88">
        <v>7000.0</v>
      </c>
      <c r="K292" s="87" t="s">
        <v>514</v>
      </c>
      <c r="L292" s="87" t="s">
        <v>507</v>
      </c>
      <c r="M292" s="87">
        <v>2.0</v>
      </c>
      <c r="N292" s="89" t="s">
        <v>493</v>
      </c>
      <c r="O292" s="87" t="s">
        <v>586</v>
      </c>
      <c r="P292" s="87" t="s">
        <v>495</v>
      </c>
      <c r="Q292" s="90" t="s">
        <v>679</v>
      </c>
      <c r="R292" s="87" t="s">
        <v>497</v>
      </c>
      <c r="S292" s="89" t="s">
        <v>552</v>
      </c>
      <c r="T292" s="89" t="s">
        <v>590</v>
      </c>
      <c r="U292" s="87" t="s">
        <v>491</v>
      </c>
      <c r="V292" s="87" t="s">
        <v>497</v>
      </c>
      <c r="W292" s="92"/>
    </row>
    <row r="293" ht="15.75" customHeight="1">
      <c r="A293" s="87" t="s">
        <v>935</v>
      </c>
      <c r="B293" s="87" t="s">
        <v>435</v>
      </c>
      <c r="C293" s="87" t="s">
        <v>517</v>
      </c>
      <c r="D293" s="88">
        <v>1500.0</v>
      </c>
      <c r="E293" s="87" t="s">
        <v>535</v>
      </c>
      <c r="F293" s="88">
        <v>1500.0</v>
      </c>
      <c r="G293" s="89"/>
      <c r="H293" s="88">
        <v>1000.0</v>
      </c>
      <c r="I293" s="87" t="s">
        <v>600</v>
      </c>
      <c r="J293" s="88">
        <v>6800.0</v>
      </c>
      <c r="K293" s="87" t="s">
        <v>514</v>
      </c>
      <c r="L293" s="87" t="s">
        <v>507</v>
      </c>
      <c r="M293" s="87">
        <v>2.0</v>
      </c>
      <c r="N293" s="89" t="s">
        <v>493</v>
      </c>
      <c r="O293" s="87" t="s">
        <v>586</v>
      </c>
      <c r="P293" s="87" t="s">
        <v>495</v>
      </c>
      <c r="Q293" s="90" t="s">
        <v>679</v>
      </c>
      <c r="R293" s="87" t="s">
        <v>497</v>
      </c>
      <c r="S293" s="89" t="s">
        <v>552</v>
      </c>
      <c r="T293" s="89" t="s">
        <v>590</v>
      </c>
      <c r="U293" s="87" t="s">
        <v>491</v>
      </c>
      <c r="V293" s="87" t="s">
        <v>497</v>
      </c>
      <c r="W293" s="92"/>
    </row>
    <row r="294" ht="15.75" customHeight="1">
      <c r="A294" s="87" t="s">
        <v>929</v>
      </c>
      <c r="B294" s="87" t="s">
        <v>435</v>
      </c>
      <c r="C294" s="87" t="s">
        <v>570</v>
      </c>
      <c r="D294" s="88">
        <v>1500.0</v>
      </c>
      <c r="E294" s="87" t="s">
        <v>596</v>
      </c>
      <c r="F294" s="88">
        <v>1500.0</v>
      </c>
      <c r="G294" s="89"/>
      <c r="H294" s="88">
        <v>1000.0</v>
      </c>
      <c r="I294" s="87" t="s">
        <v>600</v>
      </c>
      <c r="J294" s="88">
        <v>6800.0</v>
      </c>
      <c r="K294" s="87" t="s">
        <v>514</v>
      </c>
      <c r="L294" s="87" t="s">
        <v>507</v>
      </c>
      <c r="M294" s="87">
        <v>2.0</v>
      </c>
      <c r="N294" s="89" t="s">
        <v>493</v>
      </c>
      <c r="O294" s="87" t="s">
        <v>586</v>
      </c>
      <c r="P294" s="87" t="s">
        <v>495</v>
      </c>
      <c r="Q294" s="90" t="s">
        <v>679</v>
      </c>
      <c r="R294" s="87" t="s">
        <v>497</v>
      </c>
      <c r="S294" s="89" t="s">
        <v>552</v>
      </c>
      <c r="T294" s="89" t="s">
        <v>590</v>
      </c>
      <c r="U294" s="87" t="s">
        <v>491</v>
      </c>
      <c r="V294" s="87" t="s">
        <v>497</v>
      </c>
      <c r="W294" s="92"/>
    </row>
    <row r="295" ht="15.75" customHeight="1">
      <c r="A295" s="87" t="s">
        <v>936</v>
      </c>
      <c r="B295" s="87" t="s">
        <v>436</v>
      </c>
      <c r="C295" s="87" t="s">
        <v>517</v>
      </c>
      <c r="D295" s="88">
        <v>1200.0</v>
      </c>
      <c r="E295" s="87" t="s">
        <v>535</v>
      </c>
      <c r="F295" s="88">
        <v>1200.0</v>
      </c>
      <c r="G295" s="89"/>
      <c r="H295" s="88">
        <v>1000.0</v>
      </c>
      <c r="I295" s="87" t="s">
        <v>899</v>
      </c>
      <c r="J295" s="88">
        <v>7000.0</v>
      </c>
      <c r="K295" s="87" t="s">
        <v>514</v>
      </c>
      <c r="L295" s="87" t="s">
        <v>507</v>
      </c>
      <c r="M295" s="87">
        <v>2.0</v>
      </c>
      <c r="N295" s="89" t="s">
        <v>493</v>
      </c>
      <c r="O295" s="87" t="s">
        <v>586</v>
      </c>
      <c r="P295" s="87" t="s">
        <v>495</v>
      </c>
      <c r="Q295" s="90" t="s">
        <v>679</v>
      </c>
      <c r="R295" s="87" t="s">
        <v>497</v>
      </c>
      <c r="S295" s="89" t="s">
        <v>552</v>
      </c>
      <c r="T295" s="89" t="s">
        <v>590</v>
      </c>
      <c r="U295" s="87" t="s">
        <v>491</v>
      </c>
      <c r="V295" s="87" t="s">
        <v>497</v>
      </c>
      <c r="W295" s="92"/>
    </row>
    <row r="296" ht="15.75" customHeight="1">
      <c r="A296" s="87" t="s">
        <v>929</v>
      </c>
      <c r="B296" s="87" t="s">
        <v>436</v>
      </c>
      <c r="C296" s="87" t="s">
        <v>570</v>
      </c>
      <c r="D296" s="88">
        <v>1200.0</v>
      </c>
      <c r="E296" s="87" t="s">
        <v>596</v>
      </c>
      <c r="F296" s="88">
        <v>1200.0</v>
      </c>
      <c r="G296" s="89"/>
      <c r="H296" s="88">
        <v>1000.0</v>
      </c>
      <c r="I296" s="87" t="s">
        <v>899</v>
      </c>
      <c r="J296" s="88">
        <v>7000.0</v>
      </c>
      <c r="K296" s="87" t="s">
        <v>514</v>
      </c>
      <c r="L296" s="87" t="s">
        <v>507</v>
      </c>
      <c r="M296" s="87">
        <v>2.0</v>
      </c>
      <c r="N296" s="89" t="s">
        <v>493</v>
      </c>
      <c r="O296" s="87" t="s">
        <v>586</v>
      </c>
      <c r="P296" s="87" t="s">
        <v>495</v>
      </c>
      <c r="Q296" s="90" t="s">
        <v>679</v>
      </c>
      <c r="R296" s="87" t="s">
        <v>497</v>
      </c>
      <c r="S296" s="89" t="s">
        <v>552</v>
      </c>
      <c r="T296" s="89" t="s">
        <v>590</v>
      </c>
      <c r="U296" s="87" t="s">
        <v>491</v>
      </c>
      <c r="V296" s="87" t="s">
        <v>497</v>
      </c>
      <c r="W296" s="92"/>
    </row>
    <row r="297" ht="15.75" customHeight="1">
      <c r="A297" s="87" t="s">
        <v>937</v>
      </c>
      <c r="B297" s="87" t="s">
        <v>438</v>
      </c>
      <c r="C297" s="87" t="s">
        <v>517</v>
      </c>
      <c r="D297" s="88">
        <v>2500.0</v>
      </c>
      <c r="E297" s="87" t="s">
        <v>535</v>
      </c>
      <c r="F297" s="88">
        <v>2500.0</v>
      </c>
      <c r="G297" s="89"/>
      <c r="H297" s="88">
        <v>2500.0</v>
      </c>
      <c r="I297" s="87" t="s">
        <v>513</v>
      </c>
      <c r="J297" s="88">
        <v>7000.0</v>
      </c>
      <c r="K297" s="87" t="s">
        <v>514</v>
      </c>
      <c r="L297" s="87" t="s">
        <v>507</v>
      </c>
      <c r="M297" s="87">
        <v>2.0</v>
      </c>
      <c r="N297" s="89" t="s">
        <v>493</v>
      </c>
      <c r="O297" s="87" t="s">
        <v>586</v>
      </c>
      <c r="P297" s="87" t="s">
        <v>495</v>
      </c>
      <c r="Q297" s="90" t="s">
        <v>679</v>
      </c>
      <c r="R297" s="87" t="s">
        <v>497</v>
      </c>
      <c r="S297" s="89" t="s">
        <v>552</v>
      </c>
      <c r="T297" s="89" t="s">
        <v>590</v>
      </c>
      <c r="U297" s="87" t="s">
        <v>491</v>
      </c>
      <c r="V297" s="87" t="s">
        <v>497</v>
      </c>
      <c r="W297" s="92"/>
    </row>
    <row r="298" ht="15.75" customHeight="1">
      <c r="A298" s="87" t="s">
        <v>929</v>
      </c>
      <c r="B298" s="87" t="s">
        <v>438</v>
      </c>
      <c r="C298" s="87" t="s">
        <v>570</v>
      </c>
      <c r="D298" s="88">
        <v>2500.0</v>
      </c>
      <c r="E298" s="87" t="s">
        <v>596</v>
      </c>
      <c r="F298" s="88">
        <v>2500.0</v>
      </c>
      <c r="G298" s="89"/>
      <c r="H298" s="88">
        <v>2500.0</v>
      </c>
      <c r="I298" s="87" t="s">
        <v>513</v>
      </c>
      <c r="J298" s="88">
        <v>7000.0</v>
      </c>
      <c r="K298" s="87" t="s">
        <v>514</v>
      </c>
      <c r="L298" s="87" t="s">
        <v>507</v>
      </c>
      <c r="M298" s="87">
        <v>2.0</v>
      </c>
      <c r="N298" s="89" t="s">
        <v>493</v>
      </c>
      <c r="O298" s="87" t="s">
        <v>586</v>
      </c>
      <c r="P298" s="87" t="s">
        <v>495</v>
      </c>
      <c r="Q298" s="90" t="s">
        <v>679</v>
      </c>
      <c r="R298" s="87" t="s">
        <v>497</v>
      </c>
      <c r="S298" s="89" t="s">
        <v>552</v>
      </c>
      <c r="T298" s="89" t="s">
        <v>590</v>
      </c>
      <c r="U298" s="87" t="s">
        <v>491</v>
      </c>
      <c r="V298" s="87" t="s">
        <v>497</v>
      </c>
      <c r="W298" s="92"/>
    </row>
    <row r="299" ht="15.75" customHeight="1">
      <c r="A299" s="87" t="s">
        <v>938</v>
      </c>
      <c r="B299" s="87" t="s">
        <v>442</v>
      </c>
      <c r="C299" s="87" t="s">
        <v>517</v>
      </c>
      <c r="D299" s="88">
        <v>10000.0</v>
      </c>
      <c r="E299" s="87" t="s">
        <v>535</v>
      </c>
      <c r="F299" s="88">
        <v>10000.0</v>
      </c>
      <c r="G299" s="89"/>
      <c r="H299" s="88">
        <v>10000.0</v>
      </c>
      <c r="I299" s="87" t="s">
        <v>939</v>
      </c>
      <c r="J299" s="88">
        <v>7200.0</v>
      </c>
      <c r="K299" s="87" t="s">
        <v>514</v>
      </c>
      <c r="L299" s="87" t="s">
        <v>507</v>
      </c>
      <c r="M299" s="87">
        <v>2.0</v>
      </c>
      <c r="N299" s="89" t="s">
        <v>493</v>
      </c>
      <c r="O299" s="87" t="s">
        <v>586</v>
      </c>
      <c r="P299" s="87" t="s">
        <v>495</v>
      </c>
      <c r="Q299" s="90" t="s">
        <v>679</v>
      </c>
      <c r="R299" s="87" t="s">
        <v>497</v>
      </c>
      <c r="S299" s="89" t="s">
        <v>552</v>
      </c>
      <c r="T299" s="89" t="s">
        <v>590</v>
      </c>
      <c r="U299" s="87" t="s">
        <v>491</v>
      </c>
      <c r="V299" s="87" t="s">
        <v>497</v>
      </c>
      <c r="W299" s="92"/>
    </row>
    <row r="300" ht="15.75" customHeight="1">
      <c r="A300" s="87" t="s">
        <v>929</v>
      </c>
      <c r="B300" s="87" t="s">
        <v>442</v>
      </c>
      <c r="C300" s="87" t="s">
        <v>570</v>
      </c>
      <c r="D300" s="88">
        <v>10000.0</v>
      </c>
      <c r="E300" s="87" t="s">
        <v>596</v>
      </c>
      <c r="F300" s="88">
        <v>10000.0</v>
      </c>
      <c r="G300" s="89"/>
      <c r="H300" s="88">
        <v>10000.0</v>
      </c>
      <c r="I300" s="87" t="s">
        <v>939</v>
      </c>
      <c r="J300" s="88">
        <v>7200.0</v>
      </c>
      <c r="K300" s="87" t="s">
        <v>514</v>
      </c>
      <c r="L300" s="87" t="s">
        <v>507</v>
      </c>
      <c r="M300" s="87">
        <v>2.0</v>
      </c>
      <c r="N300" s="89" t="s">
        <v>493</v>
      </c>
      <c r="O300" s="87" t="s">
        <v>586</v>
      </c>
      <c r="P300" s="87" t="s">
        <v>495</v>
      </c>
      <c r="Q300" s="90" t="s">
        <v>679</v>
      </c>
      <c r="R300" s="87" t="s">
        <v>497</v>
      </c>
      <c r="S300" s="89" t="s">
        <v>552</v>
      </c>
      <c r="T300" s="89" t="s">
        <v>590</v>
      </c>
      <c r="U300" s="87" t="s">
        <v>491</v>
      </c>
      <c r="V300" s="87" t="s">
        <v>497</v>
      </c>
      <c r="W300" s="92"/>
    </row>
    <row r="301" ht="15.75" customHeight="1">
      <c r="A301" s="87" t="s">
        <v>940</v>
      </c>
      <c r="B301" s="87" t="s">
        <v>443</v>
      </c>
      <c r="C301" s="87" t="s">
        <v>517</v>
      </c>
      <c r="D301" s="88">
        <v>1000.0</v>
      </c>
      <c r="E301" s="87" t="s">
        <v>535</v>
      </c>
      <c r="F301" s="88">
        <v>1000.0</v>
      </c>
      <c r="G301" s="89"/>
      <c r="H301" s="88">
        <v>700.0</v>
      </c>
      <c r="I301" s="93">
        <v>500.0</v>
      </c>
      <c r="J301" s="88">
        <v>7000.0</v>
      </c>
      <c r="K301" s="87" t="s">
        <v>514</v>
      </c>
      <c r="L301" s="87" t="s">
        <v>507</v>
      </c>
      <c r="M301" s="87">
        <v>2.0</v>
      </c>
      <c r="N301" s="89" t="s">
        <v>493</v>
      </c>
      <c r="O301" s="87" t="s">
        <v>586</v>
      </c>
      <c r="P301" s="87" t="s">
        <v>495</v>
      </c>
      <c r="Q301" s="90" t="s">
        <v>679</v>
      </c>
      <c r="R301" s="87" t="s">
        <v>497</v>
      </c>
      <c r="S301" s="89" t="s">
        <v>552</v>
      </c>
      <c r="T301" s="89" t="s">
        <v>590</v>
      </c>
      <c r="U301" s="87" t="s">
        <v>491</v>
      </c>
      <c r="V301" s="87" t="s">
        <v>497</v>
      </c>
      <c r="W301" s="92"/>
    </row>
    <row r="302" ht="15.75" customHeight="1">
      <c r="A302" s="87" t="s">
        <v>941</v>
      </c>
      <c r="B302" s="87" t="s">
        <v>443</v>
      </c>
      <c r="C302" s="87"/>
      <c r="D302" s="88">
        <v>1000.0</v>
      </c>
      <c r="E302" s="87"/>
      <c r="F302" s="88">
        <v>1000.0</v>
      </c>
      <c r="G302" s="89"/>
      <c r="H302" s="88">
        <v>700.0</v>
      </c>
      <c r="I302" s="93">
        <v>500.0</v>
      </c>
      <c r="J302" s="88">
        <v>7000.0</v>
      </c>
      <c r="K302" s="87"/>
      <c r="L302" s="87"/>
      <c r="M302" s="87"/>
      <c r="N302" s="89"/>
      <c r="O302" s="87"/>
      <c r="P302" s="87"/>
      <c r="Q302" s="90"/>
      <c r="R302" s="87"/>
      <c r="S302" s="89"/>
      <c r="T302" s="89"/>
      <c r="U302" s="87"/>
      <c r="V302" s="87"/>
      <c r="W302" s="92"/>
    </row>
    <row r="303" ht="15.75" customHeight="1">
      <c r="A303" s="87" t="s">
        <v>942</v>
      </c>
      <c r="B303" s="87" t="s">
        <v>445</v>
      </c>
      <c r="C303" s="87" t="s">
        <v>517</v>
      </c>
      <c r="D303" s="88">
        <v>2000.0</v>
      </c>
      <c r="E303" s="87" t="s">
        <v>755</v>
      </c>
      <c r="F303" s="88">
        <v>1700.0</v>
      </c>
      <c r="G303" s="89"/>
      <c r="H303" s="88">
        <v>1700.0</v>
      </c>
      <c r="I303" s="87" t="s">
        <v>600</v>
      </c>
      <c r="J303" s="88">
        <v>6900.0</v>
      </c>
      <c r="K303" s="87" t="s">
        <v>514</v>
      </c>
      <c r="L303" s="87" t="s">
        <v>492</v>
      </c>
      <c r="M303" s="87">
        <v>2.0</v>
      </c>
      <c r="N303" s="89" t="s">
        <v>493</v>
      </c>
      <c r="O303" s="87" t="s">
        <v>586</v>
      </c>
      <c r="P303" s="87" t="s">
        <v>495</v>
      </c>
      <c r="Q303" s="89" t="s">
        <v>900</v>
      </c>
      <c r="R303" s="87" t="s">
        <v>497</v>
      </c>
      <c r="S303" s="89" t="s">
        <v>552</v>
      </c>
      <c r="T303" s="89" t="s">
        <v>601</v>
      </c>
      <c r="U303" s="87" t="s">
        <v>497</v>
      </c>
      <c r="V303" s="87" t="s">
        <v>497</v>
      </c>
      <c r="W303" s="92"/>
    </row>
    <row r="304" ht="15.75" customHeight="1">
      <c r="A304" s="87" t="s">
        <v>943</v>
      </c>
      <c r="B304" s="87" t="s">
        <v>445</v>
      </c>
      <c r="C304" s="87" t="s">
        <v>570</v>
      </c>
      <c r="D304" s="88">
        <v>2000.0</v>
      </c>
      <c r="E304" s="87" t="s">
        <v>512</v>
      </c>
      <c r="F304" s="88">
        <v>1700.0</v>
      </c>
      <c r="G304" s="89"/>
      <c r="H304" s="88">
        <v>1700.0</v>
      </c>
      <c r="I304" s="87" t="s">
        <v>600</v>
      </c>
      <c r="J304" s="88">
        <v>6900.0</v>
      </c>
      <c r="K304" s="87" t="s">
        <v>514</v>
      </c>
      <c r="L304" s="87" t="s">
        <v>492</v>
      </c>
      <c r="M304" s="87">
        <v>2.0</v>
      </c>
      <c r="N304" s="89" t="s">
        <v>493</v>
      </c>
      <c r="O304" s="87" t="s">
        <v>586</v>
      </c>
      <c r="P304" s="87" t="s">
        <v>495</v>
      </c>
      <c r="Q304" s="89" t="s">
        <v>900</v>
      </c>
      <c r="R304" s="87" t="s">
        <v>497</v>
      </c>
      <c r="S304" s="89" t="s">
        <v>552</v>
      </c>
      <c r="T304" s="89" t="s">
        <v>601</v>
      </c>
      <c r="U304" s="87" t="s">
        <v>497</v>
      </c>
      <c r="V304" s="87" t="s">
        <v>497</v>
      </c>
      <c r="W304" s="92"/>
    </row>
    <row r="305" ht="15.75" customHeight="1">
      <c r="A305" s="87" t="s">
        <v>944</v>
      </c>
      <c r="B305" s="87" t="s">
        <v>448</v>
      </c>
      <c r="C305" s="87" t="s">
        <v>517</v>
      </c>
      <c r="D305" s="88">
        <v>2000.0</v>
      </c>
      <c r="E305" s="87" t="s">
        <v>755</v>
      </c>
      <c r="F305" s="88">
        <v>2000.0</v>
      </c>
      <c r="G305" s="89"/>
      <c r="H305" s="88">
        <v>2000.0</v>
      </c>
      <c r="I305" s="87" t="s">
        <v>506</v>
      </c>
      <c r="J305" s="88">
        <v>6500.0</v>
      </c>
      <c r="K305" s="87" t="s">
        <v>514</v>
      </c>
      <c r="L305" s="87" t="s">
        <v>507</v>
      </c>
      <c r="M305" s="87">
        <v>2.0</v>
      </c>
      <c r="N305" s="89" t="s">
        <v>493</v>
      </c>
      <c r="O305" s="87" t="s">
        <v>586</v>
      </c>
      <c r="P305" s="87" t="s">
        <v>495</v>
      </c>
      <c r="Q305" s="89" t="s">
        <v>945</v>
      </c>
      <c r="R305" s="87" t="s">
        <v>497</v>
      </c>
      <c r="S305" s="89" t="s">
        <v>648</v>
      </c>
      <c r="T305" s="89" t="s">
        <v>553</v>
      </c>
      <c r="U305" s="87" t="s">
        <v>497</v>
      </c>
      <c r="V305" s="87" t="s">
        <v>497</v>
      </c>
      <c r="W305" s="92"/>
    </row>
    <row r="306" ht="15.75" customHeight="1">
      <c r="A306" s="87" t="s">
        <v>946</v>
      </c>
      <c r="B306" s="87" t="s">
        <v>448</v>
      </c>
      <c r="C306" s="87" t="s">
        <v>570</v>
      </c>
      <c r="D306" s="88">
        <v>2000.0</v>
      </c>
      <c r="E306" s="87" t="s">
        <v>512</v>
      </c>
      <c r="F306" s="88">
        <v>2000.0</v>
      </c>
      <c r="G306" s="89"/>
      <c r="H306" s="88">
        <v>2000.0</v>
      </c>
      <c r="I306" s="87" t="s">
        <v>506</v>
      </c>
      <c r="J306" s="88">
        <v>6500.0</v>
      </c>
      <c r="K306" s="87" t="s">
        <v>514</v>
      </c>
      <c r="L306" s="87" t="s">
        <v>507</v>
      </c>
      <c r="M306" s="87">
        <v>2.0</v>
      </c>
      <c r="N306" s="89" t="s">
        <v>493</v>
      </c>
      <c r="O306" s="87" t="s">
        <v>586</v>
      </c>
      <c r="P306" s="87" t="s">
        <v>495</v>
      </c>
      <c r="Q306" s="90" t="s">
        <v>945</v>
      </c>
      <c r="R306" s="87" t="s">
        <v>497</v>
      </c>
      <c r="S306" s="89" t="s">
        <v>648</v>
      </c>
      <c r="T306" s="89" t="s">
        <v>553</v>
      </c>
      <c r="U306" s="87" t="s">
        <v>497</v>
      </c>
      <c r="V306" s="87" t="s">
        <v>497</v>
      </c>
      <c r="W306" s="92"/>
    </row>
    <row r="307" ht="15.75" customHeight="1">
      <c r="A307" s="87" t="s">
        <v>947</v>
      </c>
      <c r="B307" s="87" t="s">
        <v>450</v>
      </c>
      <c r="C307" s="87" t="s">
        <v>517</v>
      </c>
      <c r="D307" s="88">
        <v>2000.0</v>
      </c>
      <c r="E307" s="87" t="s">
        <v>755</v>
      </c>
      <c r="F307" s="88">
        <v>2000.0</v>
      </c>
      <c r="G307" s="89"/>
      <c r="H307" s="88">
        <v>2000.0</v>
      </c>
      <c r="I307" s="87" t="s">
        <v>506</v>
      </c>
      <c r="J307" s="88">
        <v>6500.0</v>
      </c>
      <c r="K307" s="87" t="s">
        <v>514</v>
      </c>
      <c r="L307" s="87" t="s">
        <v>507</v>
      </c>
      <c r="M307" s="87">
        <v>2.0</v>
      </c>
      <c r="N307" s="89" t="s">
        <v>493</v>
      </c>
      <c r="O307" s="87" t="s">
        <v>586</v>
      </c>
      <c r="P307" s="87" t="s">
        <v>495</v>
      </c>
      <c r="Q307" s="90" t="s">
        <v>945</v>
      </c>
      <c r="R307" s="87" t="s">
        <v>497</v>
      </c>
      <c r="S307" s="89" t="s">
        <v>901</v>
      </c>
      <c r="T307" s="89"/>
      <c r="U307" s="87" t="s">
        <v>497</v>
      </c>
      <c r="V307" s="87" t="s">
        <v>497</v>
      </c>
      <c r="W307" s="92"/>
    </row>
    <row r="308" ht="15.75" customHeight="1">
      <c r="A308" s="87" t="s">
        <v>948</v>
      </c>
      <c r="B308" s="87" t="s">
        <v>450</v>
      </c>
      <c r="C308" s="87" t="s">
        <v>570</v>
      </c>
      <c r="D308" s="88">
        <v>2000.0</v>
      </c>
      <c r="E308" s="87" t="s">
        <v>512</v>
      </c>
      <c r="F308" s="88">
        <v>2000.0</v>
      </c>
      <c r="G308" s="89"/>
      <c r="H308" s="88">
        <v>2000.0</v>
      </c>
      <c r="I308" s="87" t="s">
        <v>506</v>
      </c>
      <c r="J308" s="88">
        <v>6500.0</v>
      </c>
      <c r="K308" s="87" t="s">
        <v>514</v>
      </c>
      <c r="L308" s="87" t="s">
        <v>507</v>
      </c>
      <c r="M308" s="87">
        <v>2.0</v>
      </c>
      <c r="N308" s="89" t="s">
        <v>493</v>
      </c>
      <c r="O308" s="87" t="s">
        <v>586</v>
      </c>
      <c r="P308" s="87" t="s">
        <v>495</v>
      </c>
      <c r="Q308" s="90" t="s">
        <v>945</v>
      </c>
      <c r="R308" s="87" t="s">
        <v>497</v>
      </c>
      <c r="S308" s="89" t="s">
        <v>901</v>
      </c>
      <c r="T308" s="89"/>
      <c r="U308" s="87" t="s">
        <v>497</v>
      </c>
      <c r="V308" s="87" t="s">
        <v>497</v>
      </c>
      <c r="W308" s="92"/>
    </row>
    <row r="309" ht="15.75" customHeight="1">
      <c r="A309" s="87" t="s">
        <v>949</v>
      </c>
      <c r="B309" s="87" t="s">
        <v>451</v>
      </c>
      <c r="C309" s="87" t="s">
        <v>517</v>
      </c>
      <c r="D309" s="88">
        <v>1400.0</v>
      </c>
      <c r="E309" s="87" t="s">
        <v>755</v>
      </c>
      <c r="F309" s="88">
        <v>1000.0</v>
      </c>
      <c r="G309" s="89"/>
      <c r="H309" s="88">
        <v>1000.0</v>
      </c>
      <c r="I309" s="87" t="s">
        <v>506</v>
      </c>
      <c r="J309" s="88">
        <v>6700.0</v>
      </c>
      <c r="K309" s="87" t="s">
        <v>514</v>
      </c>
      <c r="L309" s="87" t="s">
        <v>507</v>
      </c>
      <c r="M309" s="87">
        <v>2.0</v>
      </c>
      <c r="N309" s="89" t="s">
        <v>493</v>
      </c>
      <c r="O309" s="87" t="s">
        <v>586</v>
      </c>
      <c r="P309" s="87" t="s">
        <v>495</v>
      </c>
      <c r="Q309" s="90" t="s">
        <v>878</v>
      </c>
      <c r="R309" s="87" t="s">
        <v>497</v>
      </c>
      <c r="S309" s="89" t="s">
        <v>552</v>
      </c>
      <c r="T309" s="89" t="s">
        <v>601</v>
      </c>
      <c r="U309" s="87" t="s">
        <v>497</v>
      </c>
      <c r="V309" s="87" t="s">
        <v>497</v>
      </c>
      <c r="W309" s="92"/>
    </row>
    <row r="310" ht="15.75" customHeight="1">
      <c r="A310" s="87" t="s">
        <v>950</v>
      </c>
      <c r="B310" s="87" t="s">
        <v>451</v>
      </c>
      <c r="C310" s="87" t="s">
        <v>570</v>
      </c>
      <c r="D310" s="88">
        <v>1400.0</v>
      </c>
      <c r="E310" s="87" t="s">
        <v>512</v>
      </c>
      <c r="F310" s="88">
        <v>1000.0</v>
      </c>
      <c r="G310" s="89"/>
      <c r="H310" s="88">
        <v>1000.0</v>
      </c>
      <c r="I310" s="87" t="s">
        <v>506</v>
      </c>
      <c r="J310" s="88">
        <v>6700.0</v>
      </c>
      <c r="K310" s="87" t="s">
        <v>514</v>
      </c>
      <c r="L310" s="87" t="s">
        <v>507</v>
      </c>
      <c r="M310" s="87">
        <v>2.0</v>
      </c>
      <c r="N310" s="89" t="s">
        <v>493</v>
      </c>
      <c r="O310" s="87" t="s">
        <v>586</v>
      </c>
      <c r="P310" s="87" t="s">
        <v>495</v>
      </c>
      <c r="Q310" s="90" t="s">
        <v>878</v>
      </c>
      <c r="R310" s="87" t="s">
        <v>497</v>
      </c>
      <c r="S310" s="89" t="s">
        <v>552</v>
      </c>
      <c r="T310" s="89" t="s">
        <v>601</v>
      </c>
      <c r="U310" s="87" t="s">
        <v>497</v>
      </c>
      <c r="V310" s="87" t="s">
        <v>497</v>
      </c>
      <c r="W310" s="92"/>
    </row>
    <row r="311" ht="15.75" customHeight="1">
      <c r="A311" s="87" t="s">
        <v>951</v>
      </c>
      <c r="B311" s="87" t="s">
        <v>453</v>
      </c>
      <c r="C311" s="87" t="s">
        <v>517</v>
      </c>
      <c r="D311" s="88">
        <v>1000.0</v>
      </c>
      <c r="E311" s="87" t="s">
        <v>755</v>
      </c>
      <c r="F311" s="88">
        <v>800.0</v>
      </c>
      <c r="G311" s="89"/>
      <c r="H311" s="88">
        <v>800.0</v>
      </c>
      <c r="I311" s="87" t="s">
        <v>600</v>
      </c>
      <c r="J311" s="88">
        <v>7000.0</v>
      </c>
      <c r="K311" s="87" t="s">
        <v>514</v>
      </c>
      <c r="L311" s="87" t="s">
        <v>507</v>
      </c>
      <c r="M311" s="87">
        <v>2.0</v>
      </c>
      <c r="N311" s="89" t="s">
        <v>493</v>
      </c>
      <c r="O311" s="87" t="s">
        <v>586</v>
      </c>
      <c r="P311" s="87" t="s">
        <v>495</v>
      </c>
      <c r="Q311" s="90" t="s">
        <v>911</v>
      </c>
      <c r="R311" s="87" t="s">
        <v>497</v>
      </c>
      <c r="S311" s="89" t="s">
        <v>914</v>
      </c>
      <c r="T311" s="89" t="s">
        <v>873</v>
      </c>
      <c r="U311" s="87" t="s">
        <v>497</v>
      </c>
      <c r="V311" s="87" t="s">
        <v>497</v>
      </c>
      <c r="W311" s="92"/>
    </row>
    <row r="312" ht="15.75" customHeight="1">
      <c r="A312" s="87" t="s">
        <v>952</v>
      </c>
      <c r="B312" s="87" t="s">
        <v>453</v>
      </c>
      <c r="C312" s="87" t="s">
        <v>570</v>
      </c>
      <c r="D312" s="88">
        <v>1000.0</v>
      </c>
      <c r="E312" s="87" t="s">
        <v>512</v>
      </c>
      <c r="F312" s="88">
        <v>800.0</v>
      </c>
      <c r="G312" s="89"/>
      <c r="H312" s="88">
        <v>800.0</v>
      </c>
      <c r="I312" s="87" t="s">
        <v>600</v>
      </c>
      <c r="J312" s="88">
        <v>7000.0</v>
      </c>
      <c r="K312" s="87" t="s">
        <v>514</v>
      </c>
      <c r="L312" s="87" t="s">
        <v>507</v>
      </c>
      <c r="M312" s="87">
        <v>2.0</v>
      </c>
      <c r="N312" s="89" t="s">
        <v>493</v>
      </c>
      <c r="O312" s="87" t="s">
        <v>586</v>
      </c>
      <c r="P312" s="87" t="s">
        <v>495</v>
      </c>
      <c r="Q312" s="90" t="s">
        <v>911</v>
      </c>
      <c r="R312" s="87" t="s">
        <v>497</v>
      </c>
      <c r="S312" s="89" t="s">
        <v>914</v>
      </c>
      <c r="T312" s="89" t="s">
        <v>873</v>
      </c>
      <c r="U312" s="87" t="s">
        <v>497</v>
      </c>
      <c r="V312" s="87" t="s">
        <v>497</v>
      </c>
      <c r="W312" s="92"/>
    </row>
    <row r="313" ht="15.75" customHeight="1">
      <c r="A313" s="87" t="s">
        <v>953</v>
      </c>
      <c r="B313" s="87" t="s">
        <v>456</v>
      </c>
      <c r="C313" s="87" t="s">
        <v>517</v>
      </c>
      <c r="D313" s="88">
        <v>500.0</v>
      </c>
      <c r="E313" s="87" t="s">
        <v>755</v>
      </c>
      <c r="F313" s="88">
        <v>400.0</v>
      </c>
      <c r="G313" s="89"/>
      <c r="H313" s="88">
        <v>125.0</v>
      </c>
      <c r="I313" s="94">
        <v>600.0</v>
      </c>
      <c r="J313" s="88">
        <v>6900.0</v>
      </c>
      <c r="K313" s="87" t="s">
        <v>514</v>
      </c>
      <c r="L313" s="87" t="s">
        <v>507</v>
      </c>
      <c r="M313" s="87">
        <v>2.0</v>
      </c>
      <c r="N313" s="89" t="s">
        <v>493</v>
      </c>
      <c r="O313" s="87" t="s">
        <v>586</v>
      </c>
      <c r="P313" s="87" t="s">
        <v>495</v>
      </c>
      <c r="Q313" s="90" t="s">
        <v>954</v>
      </c>
      <c r="R313" s="87" t="s">
        <v>497</v>
      </c>
      <c r="S313" s="89" t="s">
        <v>955</v>
      </c>
      <c r="T313" s="89" t="s">
        <v>601</v>
      </c>
      <c r="U313" s="87" t="s">
        <v>497</v>
      </c>
      <c r="V313" s="87" t="s">
        <v>497</v>
      </c>
      <c r="W313" s="92"/>
    </row>
    <row r="314" ht="15.75" customHeight="1">
      <c r="A314" s="87" t="s">
        <v>956</v>
      </c>
      <c r="B314" s="87" t="s">
        <v>456</v>
      </c>
      <c r="C314" s="87" t="s">
        <v>570</v>
      </c>
      <c r="D314" s="88">
        <v>500.0</v>
      </c>
      <c r="E314" s="87" t="s">
        <v>512</v>
      </c>
      <c r="F314" s="88">
        <v>400.0</v>
      </c>
      <c r="G314" s="89"/>
      <c r="H314" s="88">
        <v>125.0</v>
      </c>
      <c r="I314" s="87">
        <v>600.0</v>
      </c>
      <c r="J314" s="88">
        <v>6900.0</v>
      </c>
      <c r="K314" s="87" t="s">
        <v>514</v>
      </c>
      <c r="L314" s="87" t="s">
        <v>507</v>
      </c>
      <c r="M314" s="87">
        <v>2.0</v>
      </c>
      <c r="N314" s="89" t="s">
        <v>493</v>
      </c>
      <c r="O314" s="87" t="s">
        <v>586</v>
      </c>
      <c r="P314" s="87" t="s">
        <v>495</v>
      </c>
      <c r="Q314" s="90" t="s">
        <v>954</v>
      </c>
      <c r="R314" s="87" t="s">
        <v>497</v>
      </c>
      <c r="S314" s="89" t="s">
        <v>955</v>
      </c>
      <c r="T314" s="89" t="s">
        <v>601</v>
      </c>
      <c r="U314" s="87" t="s">
        <v>497</v>
      </c>
      <c r="V314" s="87" t="s">
        <v>497</v>
      </c>
      <c r="W314" s="92"/>
    </row>
    <row r="315" ht="15.75" customHeight="1">
      <c r="A315" s="87" t="s">
        <v>957</v>
      </c>
      <c r="B315" s="87" t="s">
        <v>457</v>
      </c>
      <c r="C315" s="87" t="s">
        <v>517</v>
      </c>
      <c r="D315" s="88">
        <v>2500.0</v>
      </c>
      <c r="E315" s="87" t="s">
        <v>755</v>
      </c>
      <c r="F315" s="88">
        <v>2500.0</v>
      </c>
      <c r="G315" s="89"/>
      <c r="H315" s="88">
        <v>2500.0</v>
      </c>
      <c r="I315" s="87" t="s">
        <v>697</v>
      </c>
      <c r="J315" s="88">
        <v>6900.0</v>
      </c>
      <c r="K315" s="87" t="s">
        <v>514</v>
      </c>
      <c r="L315" s="87" t="s">
        <v>507</v>
      </c>
      <c r="M315" s="87">
        <v>2.0</v>
      </c>
      <c r="N315" s="89" t="s">
        <v>493</v>
      </c>
      <c r="O315" s="87" t="s">
        <v>586</v>
      </c>
      <c r="P315" s="87" t="s">
        <v>495</v>
      </c>
      <c r="Q315" s="90" t="s">
        <v>958</v>
      </c>
      <c r="R315" s="87" t="s">
        <v>497</v>
      </c>
      <c r="S315" s="89" t="s">
        <v>593</v>
      </c>
      <c r="T315" s="89" t="s">
        <v>873</v>
      </c>
      <c r="U315" s="87" t="s">
        <v>497</v>
      </c>
      <c r="V315" s="87" t="s">
        <v>497</v>
      </c>
      <c r="W315" s="92"/>
    </row>
    <row r="316" ht="15.75" customHeight="1">
      <c r="A316" s="87" t="s">
        <v>959</v>
      </c>
      <c r="B316" s="87" t="s">
        <v>457</v>
      </c>
      <c r="C316" s="87" t="s">
        <v>570</v>
      </c>
      <c r="D316" s="88">
        <v>2500.0</v>
      </c>
      <c r="E316" s="87" t="s">
        <v>512</v>
      </c>
      <c r="F316" s="88">
        <v>2500.0</v>
      </c>
      <c r="G316" s="89"/>
      <c r="H316" s="88">
        <v>2500.0</v>
      </c>
      <c r="I316" s="87" t="s">
        <v>697</v>
      </c>
      <c r="J316" s="88">
        <v>6900.0</v>
      </c>
      <c r="K316" s="87" t="s">
        <v>514</v>
      </c>
      <c r="L316" s="87" t="s">
        <v>507</v>
      </c>
      <c r="M316" s="87">
        <v>2.0</v>
      </c>
      <c r="N316" s="89" t="s">
        <v>493</v>
      </c>
      <c r="O316" s="87" t="s">
        <v>586</v>
      </c>
      <c r="P316" s="87" t="s">
        <v>495</v>
      </c>
      <c r="Q316" s="90" t="s">
        <v>958</v>
      </c>
      <c r="R316" s="87" t="s">
        <v>497</v>
      </c>
      <c r="S316" s="89" t="s">
        <v>593</v>
      </c>
      <c r="T316" s="89" t="s">
        <v>873</v>
      </c>
      <c r="U316" s="87" t="s">
        <v>497</v>
      </c>
      <c r="V316" s="87" t="s">
        <v>497</v>
      </c>
      <c r="W316" s="92"/>
    </row>
    <row r="317" ht="15.75" customHeight="1">
      <c r="A317" s="87" t="s">
        <v>960</v>
      </c>
      <c r="B317" s="87" t="s">
        <v>458</v>
      </c>
      <c r="C317" s="87" t="s">
        <v>517</v>
      </c>
      <c r="D317" s="88">
        <v>1600.0</v>
      </c>
      <c r="E317" s="87" t="s">
        <v>755</v>
      </c>
      <c r="F317" s="88">
        <v>1200.0</v>
      </c>
      <c r="G317" s="89">
        <v>4.0</v>
      </c>
      <c r="H317" s="88">
        <v>720.0</v>
      </c>
      <c r="I317" s="87" t="s">
        <v>506</v>
      </c>
      <c r="J317" s="88">
        <v>6500.0</v>
      </c>
      <c r="K317" s="87" t="s">
        <v>514</v>
      </c>
      <c r="L317" s="87" t="s">
        <v>507</v>
      </c>
      <c r="M317" s="87">
        <v>2.0</v>
      </c>
      <c r="N317" s="89" t="s">
        <v>493</v>
      </c>
      <c r="O317" s="87" t="s">
        <v>586</v>
      </c>
      <c r="P317" s="87" t="s">
        <v>495</v>
      </c>
      <c r="Q317" s="90" t="s">
        <v>900</v>
      </c>
      <c r="R317" s="87" t="s">
        <v>497</v>
      </c>
      <c r="S317" s="89" t="s">
        <v>955</v>
      </c>
      <c r="T317" s="89" t="s">
        <v>961</v>
      </c>
      <c r="U317" s="87" t="s">
        <v>497</v>
      </c>
      <c r="V317" s="87" t="s">
        <v>497</v>
      </c>
      <c r="W317" s="92"/>
    </row>
    <row r="318" ht="15.75" customHeight="1">
      <c r="A318" s="87" t="s">
        <v>962</v>
      </c>
      <c r="B318" s="87" t="s">
        <v>458</v>
      </c>
      <c r="C318" s="87" t="s">
        <v>570</v>
      </c>
      <c r="D318" s="88">
        <v>1600.0</v>
      </c>
      <c r="E318" s="87" t="s">
        <v>512</v>
      </c>
      <c r="F318" s="88">
        <v>1200.0</v>
      </c>
      <c r="G318" s="89">
        <v>4.0</v>
      </c>
      <c r="H318" s="88">
        <v>720.0</v>
      </c>
      <c r="I318" s="87" t="s">
        <v>506</v>
      </c>
      <c r="J318" s="88">
        <v>6500.0</v>
      </c>
      <c r="K318" s="87" t="s">
        <v>514</v>
      </c>
      <c r="L318" s="87" t="s">
        <v>507</v>
      </c>
      <c r="M318" s="87">
        <v>2.0</v>
      </c>
      <c r="N318" s="89" t="s">
        <v>493</v>
      </c>
      <c r="O318" s="87" t="s">
        <v>586</v>
      </c>
      <c r="P318" s="87" t="s">
        <v>495</v>
      </c>
      <c r="Q318" s="90" t="s">
        <v>900</v>
      </c>
      <c r="R318" s="87" t="s">
        <v>497</v>
      </c>
      <c r="S318" s="89" t="s">
        <v>955</v>
      </c>
      <c r="T318" s="89" t="s">
        <v>961</v>
      </c>
      <c r="U318" s="87" t="s">
        <v>497</v>
      </c>
      <c r="V318" s="87" t="s">
        <v>497</v>
      </c>
      <c r="W318" s="92"/>
    </row>
    <row r="319" ht="15.75" customHeight="1">
      <c r="A319" s="87" t="s">
        <v>963</v>
      </c>
      <c r="B319" s="87" t="s">
        <v>460</v>
      </c>
      <c r="C319" s="87" t="s">
        <v>517</v>
      </c>
      <c r="D319" s="88">
        <v>2000.0</v>
      </c>
      <c r="E319" s="87" t="s">
        <v>755</v>
      </c>
      <c r="F319" s="88">
        <v>1600.0</v>
      </c>
      <c r="G319" s="89"/>
      <c r="H319" s="88">
        <v>500.0</v>
      </c>
      <c r="I319" s="87" t="s">
        <v>646</v>
      </c>
      <c r="J319" s="88">
        <v>7000.0</v>
      </c>
      <c r="K319" s="87" t="s">
        <v>514</v>
      </c>
      <c r="L319" s="87" t="s">
        <v>492</v>
      </c>
      <c r="M319" s="87">
        <v>2.0</v>
      </c>
      <c r="N319" s="89" t="s">
        <v>493</v>
      </c>
      <c r="O319" s="87" t="s">
        <v>586</v>
      </c>
      <c r="P319" s="87" t="s">
        <v>495</v>
      </c>
      <c r="Q319" s="90" t="s">
        <v>900</v>
      </c>
      <c r="R319" s="87" t="s">
        <v>497</v>
      </c>
      <c r="S319" s="89" t="s">
        <v>955</v>
      </c>
      <c r="T319" s="89" t="s">
        <v>601</v>
      </c>
      <c r="U319" s="87" t="s">
        <v>497</v>
      </c>
      <c r="V319" s="87" t="s">
        <v>497</v>
      </c>
      <c r="W319" s="92"/>
    </row>
    <row r="320" ht="15.75" customHeight="1">
      <c r="A320" s="87" t="s">
        <v>964</v>
      </c>
      <c r="B320" s="87" t="s">
        <v>460</v>
      </c>
      <c r="C320" s="87" t="s">
        <v>570</v>
      </c>
      <c r="D320" s="88">
        <v>2000.0</v>
      </c>
      <c r="E320" s="87" t="s">
        <v>512</v>
      </c>
      <c r="F320" s="88">
        <v>1600.0</v>
      </c>
      <c r="G320" s="89"/>
      <c r="H320" s="88">
        <v>500.0</v>
      </c>
      <c r="I320" s="87" t="s">
        <v>646</v>
      </c>
      <c r="J320" s="88">
        <v>7000.0</v>
      </c>
      <c r="K320" s="87" t="s">
        <v>514</v>
      </c>
      <c r="L320" s="87" t="s">
        <v>492</v>
      </c>
      <c r="M320" s="87">
        <v>2.0</v>
      </c>
      <c r="N320" s="89" t="s">
        <v>493</v>
      </c>
      <c r="O320" s="87" t="s">
        <v>586</v>
      </c>
      <c r="P320" s="87" t="s">
        <v>495</v>
      </c>
      <c r="Q320" s="90" t="s">
        <v>900</v>
      </c>
      <c r="R320" s="87" t="s">
        <v>497</v>
      </c>
      <c r="S320" s="89" t="s">
        <v>955</v>
      </c>
      <c r="T320" s="89" t="s">
        <v>601</v>
      </c>
      <c r="U320" s="87" t="s">
        <v>497</v>
      </c>
      <c r="V320" s="87" t="s">
        <v>497</v>
      </c>
      <c r="W320" s="92"/>
    </row>
    <row r="321" ht="15.75" customHeight="1">
      <c r="A321" s="87" t="s">
        <v>965</v>
      </c>
      <c r="B321" s="87" t="s">
        <v>463</v>
      </c>
      <c r="C321" s="87" t="s">
        <v>517</v>
      </c>
      <c r="D321" s="88">
        <v>1200.0</v>
      </c>
      <c r="E321" s="87" t="s">
        <v>755</v>
      </c>
      <c r="F321" s="88">
        <v>1000.0</v>
      </c>
      <c r="G321" s="89"/>
      <c r="H321" s="88">
        <v>1000.0</v>
      </c>
      <c r="I321" s="87" t="s">
        <v>600</v>
      </c>
      <c r="J321" s="88">
        <v>6900.0</v>
      </c>
      <c r="K321" s="87" t="s">
        <v>514</v>
      </c>
      <c r="L321" s="87" t="s">
        <v>507</v>
      </c>
      <c r="M321" s="87">
        <v>2.0</v>
      </c>
      <c r="N321" s="89" t="s">
        <v>493</v>
      </c>
      <c r="O321" s="87" t="s">
        <v>586</v>
      </c>
      <c r="P321" s="87" t="s">
        <v>495</v>
      </c>
      <c r="Q321" s="90" t="s">
        <v>878</v>
      </c>
      <c r="R321" s="87" t="s">
        <v>497</v>
      </c>
      <c r="S321" s="89" t="s">
        <v>917</v>
      </c>
      <c r="T321" s="89" t="s">
        <v>601</v>
      </c>
      <c r="U321" s="87" t="s">
        <v>497</v>
      </c>
      <c r="V321" s="87" t="s">
        <v>497</v>
      </c>
      <c r="W321" s="92"/>
    </row>
    <row r="322" ht="15.75" customHeight="1">
      <c r="A322" s="87" t="s">
        <v>966</v>
      </c>
      <c r="B322" s="87" t="s">
        <v>463</v>
      </c>
      <c r="C322" s="87" t="s">
        <v>570</v>
      </c>
      <c r="D322" s="88">
        <v>1200.0</v>
      </c>
      <c r="E322" s="87" t="s">
        <v>512</v>
      </c>
      <c r="F322" s="88">
        <v>1000.0</v>
      </c>
      <c r="G322" s="89"/>
      <c r="H322" s="88">
        <v>1000.0</v>
      </c>
      <c r="I322" s="87" t="s">
        <v>600</v>
      </c>
      <c r="J322" s="88">
        <v>6900.0</v>
      </c>
      <c r="K322" s="87" t="s">
        <v>514</v>
      </c>
      <c r="L322" s="87" t="s">
        <v>507</v>
      </c>
      <c r="M322" s="87">
        <v>2.0</v>
      </c>
      <c r="N322" s="89" t="s">
        <v>493</v>
      </c>
      <c r="O322" s="87" t="s">
        <v>586</v>
      </c>
      <c r="P322" s="87" t="s">
        <v>495</v>
      </c>
      <c r="Q322" s="90" t="s">
        <v>878</v>
      </c>
      <c r="R322" s="87" t="s">
        <v>497</v>
      </c>
      <c r="S322" s="89" t="s">
        <v>917</v>
      </c>
      <c r="T322" s="89" t="s">
        <v>601</v>
      </c>
      <c r="U322" s="87" t="s">
        <v>497</v>
      </c>
      <c r="V322" s="87" t="s">
        <v>497</v>
      </c>
      <c r="W322" s="92"/>
    </row>
    <row r="323" ht="15.75" customHeight="1">
      <c r="C323" s="95"/>
      <c r="E323" s="95"/>
      <c r="F323" s="95"/>
      <c r="G323" s="95"/>
      <c r="H323" s="95"/>
      <c r="I323" s="95"/>
      <c r="J323" s="95"/>
      <c r="K323" s="95"/>
      <c r="L323" s="95"/>
      <c r="M323" s="95"/>
      <c r="N323" s="96"/>
      <c r="O323" s="95"/>
      <c r="P323" s="95"/>
      <c r="Q323" s="96"/>
      <c r="R323" s="95"/>
      <c r="S323" s="96"/>
      <c r="T323" s="96"/>
      <c r="U323" s="95"/>
      <c r="V323" s="95"/>
    </row>
    <row r="324" ht="15.75" customHeight="1">
      <c r="C324" s="95"/>
      <c r="E324" s="95"/>
      <c r="F324" s="95"/>
      <c r="G324" s="95"/>
      <c r="H324" s="95"/>
      <c r="I324" s="95"/>
      <c r="J324" s="95"/>
      <c r="K324" s="95"/>
      <c r="L324" s="95"/>
      <c r="M324" s="95"/>
      <c r="N324" s="96"/>
      <c r="O324" s="95"/>
      <c r="P324" s="95"/>
      <c r="Q324" s="96"/>
      <c r="R324" s="95"/>
      <c r="S324" s="96"/>
      <c r="T324" s="96"/>
      <c r="U324" s="95"/>
      <c r="V324" s="95"/>
    </row>
    <row r="325" ht="15.75" customHeight="1">
      <c r="F325" s="95"/>
      <c r="G325" s="95"/>
      <c r="H325" s="95"/>
      <c r="I325" s="95"/>
      <c r="J325" s="95"/>
      <c r="K325" s="95"/>
      <c r="L325" s="95"/>
      <c r="M325" s="95"/>
      <c r="N325" s="96"/>
      <c r="O325" s="95"/>
      <c r="P325" s="95"/>
      <c r="Q325" s="96"/>
      <c r="R325" s="95"/>
      <c r="S325" s="96"/>
      <c r="T325" s="96"/>
      <c r="U325" s="95"/>
      <c r="V325" s="95"/>
    </row>
    <row r="326" ht="15.75" customHeight="1">
      <c r="F326" s="95"/>
      <c r="G326" s="95"/>
      <c r="H326" s="95"/>
      <c r="I326" s="95"/>
      <c r="J326" s="95"/>
      <c r="K326" s="95"/>
      <c r="L326" s="95"/>
      <c r="M326" s="95"/>
      <c r="N326" s="96"/>
      <c r="O326" s="95"/>
      <c r="P326" s="95"/>
      <c r="Q326" s="96"/>
      <c r="R326" s="95"/>
      <c r="S326" s="96"/>
      <c r="T326" s="96"/>
      <c r="U326" s="95"/>
      <c r="V326" s="95"/>
    </row>
    <row r="327" ht="15.75" customHeight="1">
      <c r="F327" s="97"/>
    </row>
    <row r="328" ht="15.75" customHeight="1">
      <c r="F328" s="97"/>
    </row>
    <row r="329" ht="15.75" customHeight="1">
      <c r="F329" s="97"/>
    </row>
    <row r="330" ht="15.75" customHeight="1">
      <c r="F330" s="97"/>
    </row>
    <row r="331" ht="15.75" customHeight="1">
      <c r="F331" s="97"/>
    </row>
    <row r="332" ht="15.75" customHeight="1">
      <c r="F332" s="97"/>
    </row>
    <row r="333" ht="15.75" customHeight="1">
      <c r="F333" s="97"/>
    </row>
    <row r="334" ht="15.75" customHeight="1">
      <c r="F334" s="97"/>
    </row>
    <row r="335" ht="15.75" customHeight="1">
      <c r="F335" s="97"/>
    </row>
    <row r="336" ht="15.75" customHeight="1">
      <c r="F336" s="97"/>
    </row>
    <row r="337" ht="15.75" customHeight="1">
      <c r="F337" s="97"/>
    </row>
    <row r="338" ht="15.75" customHeight="1">
      <c r="F338" s="97"/>
    </row>
    <row r="339" ht="15.75" customHeight="1">
      <c r="F339" s="97"/>
    </row>
    <row r="340" ht="15.75" customHeight="1">
      <c r="F340" s="97"/>
    </row>
    <row r="341" ht="15.75" customHeight="1">
      <c r="F341" s="97"/>
    </row>
    <row r="342" ht="15.75" customHeight="1">
      <c r="F342" s="97"/>
    </row>
    <row r="343" ht="15.75" customHeight="1">
      <c r="F343" s="97"/>
    </row>
    <row r="344" ht="15.75" customHeight="1">
      <c r="F344" s="97"/>
    </row>
    <row r="345" ht="15.75" customHeight="1">
      <c r="F345" s="97"/>
    </row>
    <row r="346" ht="15.75" customHeight="1">
      <c r="F346" s="97"/>
    </row>
    <row r="347" ht="15.75" customHeight="1">
      <c r="F347" s="97"/>
    </row>
    <row r="348" ht="15.75" customHeight="1">
      <c r="F348" s="97"/>
    </row>
    <row r="349" ht="15.75" customHeight="1">
      <c r="F349" s="97"/>
    </row>
    <row r="350" ht="15.75" customHeight="1">
      <c r="F350" s="97"/>
    </row>
    <row r="351" ht="15.75" customHeight="1">
      <c r="F351" s="97"/>
    </row>
    <row r="352" ht="15.75" customHeight="1">
      <c r="F352" s="97"/>
    </row>
    <row r="353" ht="15.75" customHeight="1">
      <c r="F353" s="97"/>
    </row>
    <row r="354" ht="15.75" customHeight="1">
      <c r="F354" s="97"/>
    </row>
    <row r="355" ht="15.75" customHeight="1">
      <c r="F355" s="97"/>
    </row>
    <row r="356" ht="15.75" customHeight="1">
      <c r="F356" s="97"/>
    </row>
    <row r="357" ht="15.75" customHeight="1">
      <c r="F357" s="97"/>
    </row>
    <row r="358" ht="15.75" customHeight="1">
      <c r="F358" s="97"/>
    </row>
    <row r="359" ht="15.75" customHeight="1">
      <c r="F359" s="97"/>
    </row>
    <row r="360" ht="15.75" customHeight="1">
      <c r="F360" s="97"/>
    </row>
    <row r="361" ht="15.75" customHeight="1">
      <c r="F361" s="97"/>
    </row>
    <row r="362" ht="15.75" customHeight="1">
      <c r="F362" s="97"/>
    </row>
    <row r="363" ht="15.75" customHeight="1">
      <c r="D363" s="97"/>
      <c r="F363" s="97"/>
      <c r="G363" s="97"/>
      <c r="H363" s="97"/>
      <c r="I363" s="97"/>
      <c r="J363" s="97"/>
      <c r="W363" s="97"/>
    </row>
    <row r="364" ht="15.75" customHeight="1">
      <c r="D364" s="97"/>
      <c r="F364" s="97"/>
      <c r="G364" s="97"/>
      <c r="H364" s="97"/>
      <c r="I364" s="97"/>
      <c r="J364" s="97"/>
      <c r="W364" s="97"/>
    </row>
    <row r="365" ht="15.75" customHeight="1">
      <c r="D365" s="97"/>
      <c r="F365" s="97"/>
      <c r="G365" s="97"/>
      <c r="H365" s="97"/>
      <c r="I365" s="97"/>
      <c r="J365" s="97"/>
      <c r="W365" s="97"/>
    </row>
    <row r="366" ht="15.75" customHeight="1">
      <c r="D366" s="97"/>
      <c r="F366" s="97"/>
      <c r="G366" s="97"/>
      <c r="H366" s="97"/>
      <c r="I366" s="97"/>
      <c r="J366" s="97"/>
      <c r="W366" s="97"/>
    </row>
    <row r="367" ht="15.75" customHeight="1">
      <c r="D367" s="97"/>
      <c r="F367" s="97"/>
      <c r="G367" s="97"/>
      <c r="H367" s="97"/>
      <c r="I367" s="97"/>
      <c r="J367" s="97"/>
      <c r="W367" s="97"/>
    </row>
    <row r="368" ht="15.75" customHeight="1">
      <c r="D368" s="97"/>
      <c r="F368" s="97"/>
      <c r="G368" s="97"/>
      <c r="H368" s="97"/>
      <c r="I368" s="97"/>
      <c r="J368" s="97"/>
      <c r="W368" s="97"/>
    </row>
    <row r="369" ht="15.75" customHeight="1">
      <c r="D369" s="97"/>
      <c r="F369" s="97"/>
      <c r="G369" s="97"/>
      <c r="H369" s="97"/>
      <c r="I369" s="97"/>
      <c r="J369" s="97"/>
      <c r="W369" s="97"/>
    </row>
    <row r="370" ht="15.75" customHeight="1">
      <c r="D370" s="97"/>
      <c r="F370" s="97"/>
      <c r="G370" s="97"/>
      <c r="H370" s="97"/>
      <c r="I370" s="97"/>
      <c r="J370" s="97"/>
      <c r="W370" s="97"/>
    </row>
    <row r="371" ht="15.75" customHeight="1">
      <c r="D371" s="97"/>
      <c r="F371" s="97"/>
      <c r="G371" s="97"/>
      <c r="H371" s="97"/>
      <c r="I371" s="97"/>
      <c r="J371" s="97"/>
      <c r="W371" s="97"/>
    </row>
    <row r="372" ht="15.75" customHeight="1">
      <c r="D372" s="97"/>
      <c r="F372" s="97"/>
      <c r="G372" s="97"/>
      <c r="H372" s="97"/>
      <c r="I372" s="97"/>
      <c r="J372" s="97"/>
      <c r="W372" s="97"/>
    </row>
    <row r="373" ht="15.75" customHeight="1">
      <c r="D373" s="97"/>
      <c r="F373" s="97"/>
      <c r="G373" s="97"/>
      <c r="H373" s="97"/>
      <c r="I373" s="97"/>
      <c r="J373" s="97"/>
      <c r="W373" s="97"/>
    </row>
    <row r="374" ht="15.75" customHeight="1">
      <c r="D374" s="97"/>
      <c r="F374" s="97"/>
      <c r="G374" s="97"/>
      <c r="H374" s="97"/>
      <c r="I374" s="97"/>
      <c r="J374" s="97"/>
      <c r="W374" s="97"/>
    </row>
    <row r="375" ht="15.75" customHeight="1">
      <c r="D375" s="97"/>
      <c r="F375" s="97"/>
      <c r="G375" s="97"/>
      <c r="H375" s="97"/>
      <c r="I375" s="97"/>
      <c r="J375" s="97"/>
      <c r="W375" s="97"/>
    </row>
    <row r="376" ht="15.75" customHeight="1">
      <c r="D376" s="97"/>
      <c r="F376" s="97"/>
      <c r="G376" s="97"/>
      <c r="H376" s="97"/>
      <c r="I376" s="97"/>
      <c r="J376" s="97"/>
      <c r="W376" s="97"/>
    </row>
    <row r="377" ht="15.75" customHeight="1">
      <c r="D377" s="97"/>
      <c r="F377" s="97"/>
      <c r="G377" s="97"/>
      <c r="H377" s="97"/>
      <c r="I377" s="97"/>
      <c r="J377" s="97"/>
      <c r="W377" s="97"/>
    </row>
    <row r="378" ht="15.75" customHeight="1">
      <c r="D378" s="97"/>
      <c r="F378" s="97"/>
      <c r="G378" s="97"/>
      <c r="H378" s="97"/>
      <c r="I378" s="97"/>
      <c r="J378" s="97"/>
      <c r="W378" s="97"/>
    </row>
    <row r="379" ht="15.75" customHeight="1">
      <c r="D379" s="97"/>
      <c r="F379" s="97"/>
      <c r="G379" s="97"/>
      <c r="H379" s="97"/>
      <c r="I379" s="97"/>
      <c r="J379" s="97"/>
      <c r="W379" s="97"/>
    </row>
    <row r="380" ht="15.75" customHeight="1">
      <c r="D380" s="97"/>
      <c r="F380" s="97"/>
      <c r="G380" s="97"/>
      <c r="H380" s="97"/>
      <c r="I380" s="97"/>
      <c r="J380" s="97"/>
      <c r="W380" s="97"/>
    </row>
    <row r="381" ht="15.75" customHeight="1">
      <c r="D381" s="97"/>
      <c r="F381" s="97"/>
      <c r="G381" s="97"/>
      <c r="H381" s="97"/>
      <c r="I381" s="97"/>
      <c r="J381" s="97"/>
      <c r="W381" s="97"/>
    </row>
    <row r="382" ht="15.75" customHeight="1">
      <c r="D382" s="97"/>
      <c r="F382" s="97"/>
      <c r="G382" s="97"/>
      <c r="H382" s="97"/>
      <c r="I382" s="97"/>
      <c r="J382" s="97"/>
      <c r="W382" s="97"/>
    </row>
    <row r="383" ht="15.75" customHeight="1">
      <c r="D383" s="97"/>
      <c r="F383" s="97"/>
      <c r="G383" s="97"/>
      <c r="H383" s="97"/>
      <c r="I383" s="97"/>
      <c r="J383" s="97"/>
      <c r="W383" s="97"/>
    </row>
    <row r="384" ht="15.75" customHeight="1">
      <c r="D384" s="97"/>
      <c r="F384" s="97"/>
      <c r="G384" s="97"/>
      <c r="H384" s="97"/>
      <c r="I384" s="97"/>
      <c r="J384" s="97"/>
      <c r="W384" s="97"/>
    </row>
    <row r="385" ht="15.75" customHeight="1">
      <c r="D385" s="97"/>
      <c r="F385" s="97"/>
      <c r="G385" s="97"/>
      <c r="H385" s="97"/>
      <c r="I385" s="97"/>
      <c r="J385" s="97"/>
      <c r="W385" s="97"/>
    </row>
    <row r="386" ht="15.75" customHeight="1">
      <c r="D386" s="97"/>
      <c r="F386" s="97"/>
      <c r="G386" s="97"/>
      <c r="H386" s="97"/>
      <c r="I386" s="97"/>
      <c r="J386" s="97"/>
      <c r="W386" s="97"/>
    </row>
    <row r="387" ht="15.75" customHeight="1">
      <c r="D387" s="97"/>
      <c r="F387" s="97"/>
      <c r="G387" s="97"/>
      <c r="H387" s="97"/>
      <c r="I387" s="97"/>
      <c r="J387" s="97"/>
      <c r="W387" s="97"/>
    </row>
    <row r="388" ht="15.75" customHeight="1">
      <c r="D388" s="97"/>
      <c r="F388" s="97"/>
      <c r="G388" s="97"/>
      <c r="H388" s="97"/>
      <c r="I388" s="97"/>
      <c r="J388" s="97"/>
      <c r="W388" s="97"/>
    </row>
    <row r="389" ht="15.75" customHeight="1">
      <c r="D389" s="97"/>
      <c r="F389" s="97"/>
      <c r="G389" s="97"/>
      <c r="H389" s="97"/>
      <c r="I389" s="97"/>
      <c r="J389" s="97"/>
      <c r="W389" s="97"/>
    </row>
    <row r="390" ht="15.75" customHeight="1">
      <c r="D390" s="97"/>
      <c r="F390" s="97"/>
      <c r="G390" s="97"/>
      <c r="H390" s="97"/>
      <c r="I390" s="97"/>
      <c r="J390" s="97"/>
      <c r="W390" s="97"/>
    </row>
    <row r="391" ht="15.75" customHeight="1">
      <c r="D391" s="97"/>
      <c r="F391" s="97"/>
      <c r="G391" s="97"/>
      <c r="H391" s="97"/>
      <c r="I391" s="97"/>
      <c r="J391" s="97"/>
      <c r="W391" s="97"/>
    </row>
    <row r="392" ht="15.75" customHeight="1">
      <c r="D392" s="97"/>
      <c r="F392" s="97"/>
      <c r="G392" s="97"/>
      <c r="H392" s="97"/>
      <c r="I392" s="97"/>
      <c r="J392" s="97"/>
      <c r="W392" s="97"/>
    </row>
    <row r="393" ht="15.75" customHeight="1">
      <c r="D393" s="97"/>
      <c r="F393" s="97"/>
      <c r="G393" s="97"/>
      <c r="H393" s="97"/>
      <c r="I393" s="97"/>
      <c r="J393" s="97"/>
      <c r="W393" s="97"/>
    </row>
    <row r="394" ht="15.75" customHeight="1">
      <c r="D394" s="97"/>
      <c r="F394" s="97"/>
      <c r="G394" s="97"/>
      <c r="H394" s="97"/>
      <c r="I394" s="97"/>
      <c r="J394" s="97"/>
      <c r="W394" s="97"/>
    </row>
    <row r="395" ht="15.75" customHeight="1">
      <c r="D395" s="97"/>
      <c r="F395" s="97"/>
      <c r="G395" s="97"/>
      <c r="H395" s="97"/>
      <c r="I395" s="97"/>
      <c r="J395" s="97"/>
      <c r="W395" s="97"/>
    </row>
    <row r="396" ht="15.75" customHeight="1">
      <c r="D396" s="97"/>
      <c r="F396" s="97"/>
      <c r="G396" s="97"/>
      <c r="H396" s="97"/>
      <c r="I396" s="97"/>
      <c r="J396" s="97"/>
      <c r="W396" s="97"/>
    </row>
    <row r="397" ht="15.75" customHeight="1">
      <c r="D397" s="97"/>
      <c r="F397" s="97"/>
      <c r="G397" s="97"/>
      <c r="H397" s="97"/>
      <c r="I397" s="97"/>
      <c r="J397" s="97"/>
      <c r="W397" s="97"/>
    </row>
    <row r="398" ht="15.75" customHeight="1">
      <c r="D398" s="97"/>
      <c r="F398" s="97"/>
      <c r="G398" s="97"/>
      <c r="H398" s="97"/>
      <c r="I398" s="97"/>
      <c r="J398" s="97"/>
      <c r="W398" s="97"/>
    </row>
    <row r="399" ht="15.75" customHeight="1">
      <c r="D399" s="97"/>
      <c r="F399" s="97"/>
      <c r="G399" s="97"/>
      <c r="H399" s="97"/>
      <c r="I399" s="97"/>
      <c r="J399" s="97"/>
      <c r="W399" s="97"/>
    </row>
    <row r="400" ht="15.75" customHeight="1">
      <c r="D400" s="97"/>
      <c r="F400" s="97"/>
      <c r="G400" s="97"/>
      <c r="H400" s="97"/>
      <c r="I400" s="97"/>
      <c r="J400" s="97"/>
      <c r="W400" s="97"/>
    </row>
    <row r="401" ht="15.75" customHeight="1">
      <c r="D401" s="97"/>
      <c r="F401" s="97"/>
      <c r="G401" s="97"/>
      <c r="H401" s="97"/>
      <c r="I401" s="97"/>
      <c r="J401" s="97"/>
      <c r="W401" s="97"/>
    </row>
    <row r="402" ht="15.75" customHeight="1">
      <c r="D402" s="97"/>
      <c r="F402" s="97"/>
      <c r="G402" s="97"/>
      <c r="H402" s="97"/>
      <c r="I402" s="97"/>
      <c r="J402" s="97"/>
      <c r="W402" s="97"/>
    </row>
    <row r="403" ht="15.75" customHeight="1">
      <c r="D403" s="97"/>
      <c r="F403" s="97"/>
      <c r="G403" s="97"/>
      <c r="H403" s="97"/>
      <c r="I403" s="97"/>
      <c r="J403" s="97"/>
      <c r="W403" s="97"/>
    </row>
    <row r="404" ht="15.75" customHeight="1">
      <c r="D404" s="97"/>
      <c r="F404" s="97"/>
      <c r="G404" s="97"/>
      <c r="H404" s="97"/>
      <c r="I404" s="97"/>
      <c r="J404" s="97"/>
      <c r="W404" s="97"/>
    </row>
    <row r="405" ht="15.75" customHeight="1">
      <c r="D405" s="97"/>
      <c r="F405" s="97"/>
      <c r="G405" s="97"/>
      <c r="H405" s="97"/>
      <c r="I405" s="97"/>
      <c r="J405" s="97"/>
      <c r="W405" s="97"/>
    </row>
    <row r="406" ht="15.75" customHeight="1">
      <c r="D406" s="97"/>
      <c r="F406" s="97"/>
      <c r="G406" s="97"/>
      <c r="H406" s="97"/>
      <c r="I406" s="97"/>
      <c r="J406" s="97"/>
      <c r="W406" s="97"/>
    </row>
    <row r="407" ht="15.75" customHeight="1">
      <c r="D407" s="97"/>
      <c r="F407" s="97"/>
      <c r="G407" s="97"/>
      <c r="H407" s="97"/>
      <c r="I407" s="97"/>
      <c r="J407" s="97"/>
      <c r="W407" s="97"/>
    </row>
    <row r="408" ht="15.75" customHeight="1">
      <c r="D408" s="97"/>
      <c r="F408" s="97"/>
      <c r="G408" s="97"/>
      <c r="H408" s="97"/>
      <c r="I408" s="97"/>
      <c r="J408" s="97"/>
      <c r="W408" s="97"/>
    </row>
    <row r="409" ht="15.75" customHeight="1">
      <c r="D409" s="97"/>
      <c r="F409" s="97"/>
      <c r="G409" s="97"/>
      <c r="H409" s="97"/>
      <c r="I409" s="97"/>
      <c r="J409" s="97"/>
      <c r="W409" s="97"/>
    </row>
    <row r="410" ht="15.75" customHeight="1">
      <c r="D410" s="97"/>
      <c r="F410" s="97"/>
      <c r="G410" s="97"/>
      <c r="H410" s="97"/>
      <c r="I410" s="97"/>
      <c r="J410" s="97"/>
      <c r="W410" s="97"/>
    </row>
    <row r="411" ht="15.75" customHeight="1">
      <c r="D411" s="97"/>
      <c r="F411" s="97"/>
      <c r="G411" s="97"/>
      <c r="H411" s="97"/>
      <c r="I411" s="97"/>
      <c r="J411" s="97"/>
      <c r="W411" s="97"/>
    </row>
    <row r="412" ht="15.75" customHeight="1">
      <c r="D412" s="97"/>
      <c r="F412" s="97"/>
      <c r="G412" s="97"/>
      <c r="H412" s="97"/>
      <c r="I412" s="97"/>
      <c r="J412" s="97"/>
      <c r="W412" s="97"/>
    </row>
    <row r="413" ht="15.75" customHeight="1">
      <c r="D413" s="97"/>
      <c r="F413" s="97"/>
      <c r="G413" s="97"/>
      <c r="H413" s="97"/>
      <c r="I413" s="97"/>
      <c r="J413" s="97"/>
      <c r="W413" s="97"/>
    </row>
    <row r="414" ht="15.75" customHeight="1">
      <c r="D414" s="97"/>
      <c r="F414" s="97"/>
      <c r="G414" s="97"/>
      <c r="H414" s="97"/>
      <c r="I414" s="97"/>
      <c r="J414" s="97"/>
      <c r="W414" s="97"/>
    </row>
    <row r="415" ht="15.75" customHeight="1">
      <c r="D415" s="97"/>
      <c r="F415" s="97"/>
      <c r="G415" s="97"/>
      <c r="H415" s="97"/>
      <c r="I415" s="97"/>
      <c r="J415" s="97"/>
      <c r="W415" s="97"/>
    </row>
    <row r="416" ht="15.75" customHeight="1">
      <c r="D416" s="97"/>
      <c r="F416" s="97"/>
      <c r="G416" s="97"/>
      <c r="H416" s="97"/>
      <c r="I416" s="97"/>
      <c r="J416" s="97"/>
      <c r="W416" s="97"/>
    </row>
    <row r="417" ht="15.75" customHeight="1">
      <c r="D417" s="97"/>
      <c r="F417" s="97"/>
      <c r="G417" s="97"/>
      <c r="H417" s="97"/>
      <c r="I417" s="97"/>
      <c r="J417" s="97"/>
      <c r="W417" s="97"/>
    </row>
    <row r="418" ht="15.75" customHeight="1">
      <c r="D418" s="97"/>
      <c r="F418" s="97"/>
      <c r="G418" s="97"/>
      <c r="H418" s="97"/>
      <c r="I418" s="97"/>
      <c r="J418" s="97"/>
      <c r="W418" s="97"/>
    </row>
    <row r="419" ht="15.75" customHeight="1">
      <c r="D419" s="97"/>
      <c r="F419" s="97"/>
      <c r="G419" s="97"/>
      <c r="H419" s="97"/>
      <c r="I419" s="97"/>
      <c r="J419" s="97"/>
      <c r="W419" s="97"/>
    </row>
    <row r="420" ht="15.75" customHeight="1">
      <c r="D420" s="97"/>
      <c r="F420" s="97"/>
      <c r="G420" s="97"/>
      <c r="H420" s="97"/>
      <c r="I420" s="97"/>
      <c r="J420" s="97"/>
      <c r="W420" s="97"/>
    </row>
    <row r="421" ht="15.75" customHeight="1">
      <c r="D421" s="97"/>
      <c r="F421" s="97"/>
      <c r="G421" s="97"/>
      <c r="H421" s="97"/>
      <c r="I421" s="97"/>
      <c r="J421" s="97"/>
      <c r="W421" s="97"/>
    </row>
    <row r="422" ht="15.75" customHeight="1">
      <c r="D422" s="97"/>
      <c r="F422" s="97"/>
      <c r="G422" s="97"/>
      <c r="H422" s="97"/>
      <c r="I422" s="97"/>
      <c r="J422" s="97"/>
      <c r="W422" s="97"/>
    </row>
    <row r="423" ht="15.75" customHeight="1">
      <c r="D423" s="97"/>
      <c r="F423" s="97"/>
      <c r="G423" s="97"/>
      <c r="H423" s="97"/>
      <c r="I423" s="97"/>
      <c r="J423" s="97"/>
      <c r="W423" s="97"/>
    </row>
    <row r="424" ht="15.75" customHeight="1">
      <c r="D424" s="97"/>
      <c r="F424" s="97"/>
      <c r="G424" s="97"/>
      <c r="H424" s="97"/>
      <c r="I424" s="97"/>
      <c r="J424" s="97"/>
      <c r="W424" s="97"/>
    </row>
    <row r="425" ht="15.75" customHeight="1">
      <c r="D425" s="97"/>
      <c r="F425" s="97"/>
      <c r="G425" s="97"/>
      <c r="H425" s="97"/>
      <c r="I425" s="97"/>
      <c r="J425" s="97"/>
      <c r="W425" s="97"/>
    </row>
    <row r="426" ht="15.75" customHeight="1">
      <c r="D426" s="97"/>
      <c r="F426" s="97"/>
      <c r="G426" s="97"/>
      <c r="H426" s="97"/>
      <c r="I426" s="97"/>
      <c r="J426" s="97"/>
      <c r="W426" s="97"/>
    </row>
    <row r="427" ht="15.75" customHeight="1">
      <c r="D427" s="97"/>
      <c r="F427" s="97"/>
      <c r="G427" s="97"/>
      <c r="H427" s="97"/>
      <c r="I427" s="97"/>
      <c r="J427" s="97"/>
      <c r="W427" s="97"/>
    </row>
    <row r="428" ht="15.75" customHeight="1">
      <c r="D428" s="97"/>
      <c r="F428" s="97"/>
      <c r="G428" s="97"/>
      <c r="H428" s="97"/>
      <c r="I428" s="97"/>
      <c r="J428" s="97"/>
      <c r="W428" s="97"/>
    </row>
    <row r="429" ht="15.75" customHeight="1">
      <c r="D429" s="97"/>
      <c r="F429" s="97"/>
      <c r="G429" s="97"/>
      <c r="H429" s="97"/>
      <c r="I429" s="97"/>
      <c r="J429" s="97"/>
      <c r="W429" s="97"/>
    </row>
    <row r="430" ht="15.75" customHeight="1">
      <c r="D430" s="97"/>
      <c r="F430" s="97"/>
      <c r="G430" s="97"/>
      <c r="H430" s="97"/>
      <c r="I430" s="97"/>
      <c r="J430" s="97"/>
      <c r="W430" s="97"/>
    </row>
    <row r="431" ht="15.75" customHeight="1">
      <c r="D431" s="97"/>
      <c r="F431" s="97"/>
      <c r="G431" s="97"/>
      <c r="H431" s="97"/>
      <c r="I431" s="97"/>
      <c r="J431" s="97"/>
      <c r="W431" s="97"/>
    </row>
    <row r="432" ht="15.75" customHeight="1">
      <c r="D432" s="97"/>
      <c r="F432" s="97"/>
      <c r="G432" s="97"/>
      <c r="H432" s="97"/>
      <c r="I432" s="97"/>
      <c r="J432" s="97"/>
      <c r="W432" s="97"/>
    </row>
    <row r="433" ht="15.75" customHeight="1">
      <c r="D433" s="97"/>
      <c r="F433" s="97"/>
      <c r="G433" s="97"/>
      <c r="H433" s="97"/>
      <c r="I433" s="97"/>
      <c r="J433" s="97"/>
      <c r="W433" s="97"/>
    </row>
    <row r="434" ht="15.75" customHeight="1">
      <c r="D434" s="97"/>
      <c r="F434" s="97"/>
      <c r="G434" s="97"/>
      <c r="H434" s="97"/>
      <c r="I434" s="97"/>
      <c r="J434" s="97"/>
      <c r="W434" s="97"/>
    </row>
    <row r="435" ht="15.75" customHeight="1">
      <c r="D435" s="97"/>
      <c r="F435" s="97"/>
      <c r="G435" s="97"/>
      <c r="H435" s="97"/>
      <c r="I435" s="97"/>
      <c r="J435" s="97"/>
      <c r="W435" s="97"/>
    </row>
    <row r="436" ht="15.75" customHeight="1">
      <c r="D436" s="97"/>
      <c r="F436" s="97"/>
      <c r="G436" s="97"/>
      <c r="H436" s="97"/>
      <c r="I436" s="97"/>
      <c r="J436" s="97"/>
      <c r="W436" s="97"/>
    </row>
    <row r="437" ht="15.75" customHeight="1">
      <c r="D437" s="97"/>
      <c r="F437" s="97"/>
      <c r="G437" s="97"/>
      <c r="H437" s="97"/>
      <c r="I437" s="97"/>
      <c r="J437" s="97"/>
      <c r="W437" s="97"/>
    </row>
    <row r="438" ht="15.75" customHeight="1">
      <c r="D438" s="97"/>
      <c r="F438" s="97"/>
      <c r="G438" s="97"/>
      <c r="H438" s="97"/>
      <c r="I438" s="97"/>
      <c r="J438" s="97"/>
      <c r="W438" s="97"/>
    </row>
    <row r="439" ht="15.75" customHeight="1">
      <c r="D439" s="97"/>
      <c r="F439" s="97"/>
      <c r="G439" s="97"/>
      <c r="H439" s="97"/>
      <c r="I439" s="97"/>
      <c r="J439" s="97"/>
      <c r="W439" s="97"/>
    </row>
    <row r="440" ht="15.75" customHeight="1">
      <c r="D440" s="97"/>
      <c r="F440" s="97"/>
      <c r="G440" s="97"/>
      <c r="H440" s="97"/>
      <c r="I440" s="97"/>
      <c r="J440" s="97"/>
      <c r="W440" s="97"/>
    </row>
    <row r="441" ht="15.75" customHeight="1">
      <c r="D441" s="97"/>
      <c r="F441" s="97"/>
      <c r="G441" s="97"/>
      <c r="H441" s="97"/>
      <c r="I441" s="97"/>
      <c r="J441" s="97"/>
      <c r="W441" s="97"/>
    </row>
    <row r="442" ht="15.75" customHeight="1">
      <c r="D442" s="97"/>
      <c r="F442" s="97"/>
      <c r="G442" s="97"/>
      <c r="H442" s="97"/>
      <c r="I442" s="97"/>
      <c r="J442" s="97"/>
      <c r="W442" s="97"/>
    </row>
    <row r="443" ht="15.75" customHeight="1">
      <c r="D443" s="97"/>
      <c r="F443" s="97"/>
      <c r="G443" s="97"/>
      <c r="H443" s="97"/>
      <c r="I443" s="97"/>
      <c r="J443" s="97"/>
      <c r="W443" s="97"/>
    </row>
    <row r="444" ht="15.75" customHeight="1">
      <c r="D444" s="97"/>
      <c r="F444" s="97"/>
      <c r="G444" s="97"/>
      <c r="H444" s="97"/>
      <c r="I444" s="97"/>
      <c r="J444" s="97"/>
      <c r="W444" s="97"/>
    </row>
    <row r="445" ht="15.75" customHeight="1">
      <c r="D445" s="97"/>
      <c r="F445" s="97"/>
      <c r="G445" s="97"/>
      <c r="H445" s="97"/>
      <c r="I445" s="97"/>
      <c r="J445" s="97"/>
      <c r="W445" s="97"/>
    </row>
    <row r="446" ht="15.75" customHeight="1">
      <c r="D446" s="97"/>
      <c r="F446" s="97"/>
      <c r="G446" s="97"/>
      <c r="H446" s="97"/>
      <c r="I446" s="97"/>
      <c r="J446" s="97"/>
      <c r="W446" s="97"/>
    </row>
    <row r="447" ht="15.75" customHeight="1">
      <c r="D447" s="97"/>
      <c r="F447" s="97"/>
      <c r="G447" s="97"/>
      <c r="H447" s="97"/>
      <c r="I447" s="97"/>
      <c r="J447" s="97"/>
      <c r="W447" s="97"/>
    </row>
    <row r="448" ht="15.75" customHeight="1">
      <c r="D448" s="97"/>
      <c r="F448" s="97"/>
      <c r="G448" s="97"/>
      <c r="H448" s="97"/>
      <c r="I448" s="97"/>
      <c r="J448" s="97"/>
      <c r="W448" s="97"/>
    </row>
    <row r="449" ht="15.75" customHeight="1">
      <c r="D449" s="97"/>
      <c r="F449" s="97"/>
      <c r="G449" s="97"/>
      <c r="H449" s="97"/>
      <c r="I449" s="97"/>
      <c r="J449" s="97"/>
      <c r="W449" s="97"/>
    </row>
    <row r="450" ht="15.75" customHeight="1">
      <c r="D450" s="97"/>
      <c r="F450" s="97"/>
      <c r="G450" s="97"/>
      <c r="H450" s="97"/>
      <c r="I450" s="97"/>
      <c r="J450" s="97"/>
      <c r="W450" s="97"/>
    </row>
    <row r="451" ht="15.75" customHeight="1">
      <c r="D451" s="97"/>
      <c r="F451" s="97"/>
      <c r="G451" s="97"/>
      <c r="H451" s="97"/>
      <c r="I451" s="97"/>
      <c r="J451" s="97"/>
      <c r="W451" s="97"/>
    </row>
    <row r="452" ht="15.75" customHeight="1">
      <c r="D452" s="97"/>
      <c r="F452" s="97"/>
      <c r="G452" s="97"/>
      <c r="H452" s="97"/>
      <c r="I452" s="97"/>
      <c r="J452" s="97"/>
      <c r="W452" s="97"/>
    </row>
    <row r="453" ht="15.75" customHeight="1">
      <c r="D453" s="97"/>
      <c r="F453" s="97"/>
      <c r="G453" s="97"/>
      <c r="H453" s="97"/>
      <c r="I453" s="97"/>
      <c r="J453" s="97"/>
      <c r="W453" s="97"/>
    </row>
    <row r="454" ht="15.75" customHeight="1">
      <c r="D454" s="97"/>
      <c r="F454" s="97"/>
      <c r="G454" s="97"/>
      <c r="H454" s="97"/>
      <c r="I454" s="97"/>
      <c r="J454" s="97"/>
      <c r="W454" s="97"/>
    </row>
    <row r="455" ht="15.75" customHeight="1">
      <c r="D455" s="97"/>
      <c r="F455" s="97"/>
      <c r="G455" s="97"/>
      <c r="H455" s="97"/>
      <c r="I455" s="97"/>
      <c r="J455" s="97"/>
      <c r="W455" s="97"/>
    </row>
    <row r="456" ht="15.75" customHeight="1">
      <c r="D456" s="97"/>
      <c r="F456" s="97"/>
      <c r="G456" s="97"/>
      <c r="H456" s="97"/>
      <c r="I456" s="97"/>
      <c r="J456" s="97"/>
      <c r="W456" s="97"/>
    </row>
    <row r="457" ht="15.75" customHeight="1">
      <c r="D457" s="97"/>
      <c r="F457" s="97"/>
      <c r="G457" s="97"/>
      <c r="H457" s="97"/>
      <c r="I457" s="97"/>
      <c r="J457" s="97"/>
      <c r="W457" s="97"/>
    </row>
    <row r="458" ht="15.75" customHeight="1">
      <c r="D458" s="97"/>
      <c r="F458" s="97"/>
      <c r="G458" s="97"/>
      <c r="H458" s="97"/>
      <c r="I458" s="97"/>
      <c r="J458" s="97"/>
      <c r="W458" s="97"/>
    </row>
    <row r="459" ht="15.75" customHeight="1">
      <c r="D459" s="97"/>
      <c r="F459" s="97"/>
      <c r="G459" s="97"/>
      <c r="H459" s="97"/>
      <c r="I459" s="97"/>
      <c r="J459" s="97"/>
      <c r="W459" s="97"/>
    </row>
    <row r="460" ht="15.75" customHeight="1">
      <c r="D460" s="97"/>
      <c r="F460" s="97"/>
      <c r="G460" s="97"/>
      <c r="H460" s="97"/>
      <c r="I460" s="97"/>
      <c r="J460" s="97"/>
      <c r="W460" s="97"/>
    </row>
    <row r="461" ht="15.75" customHeight="1">
      <c r="D461" s="97"/>
      <c r="F461" s="97"/>
      <c r="G461" s="97"/>
      <c r="H461" s="97"/>
      <c r="I461" s="97"/>
      <c r="J461" s="97"/>
      <c r="W461" s="97"/>
    </row>
    <row r="462" ht="15.75" customHeight="1">
      <c r="D462" s="97"/>
      <c r="F462" s="97"/>
      <c r="G462" s="97"/>
      <c r="H462" s="97"/>
      <c r="I462" s="97"/>
      <c r="J462" s="97"/>
      <c r="W462" s="97"/>
    </row>
    <row r="463" ht="15.75" customHeight="1">
      <c r="D463" s="97"/>
      <c r="F463" s="97"/>
      <c r="G463" s="97"/>
      <c r="H463" s="97"/>
      <c r="I463" s="97"/>
      <c r="J463" s="97"/>
      <c r="W463" s="97"/>
    </row>
    <row r="464" ht="15.75" customHeight="1">
      <c r="D464" s="97"/>
      <c r="F464" s="97"/>
      <c r="G464" s="97"/>
      <c r="H464" s="97"/>
      <c r="I464" s="97"/>
      <c r="J464" s="97"/>
      <c r="W464" s="97"/>
    </row>
    <row r="465" ht="15.75" customHeight="1">
      <c r="D465" s="97"/>
      <c r="F465" s="97"/>
      <c r="G465" s="97"/>
      <c r="H465" s="97"/>
      <c r="I465" s="97"/>
      <c r="J465" s="97"/>
      <c r="W465" s="97"/>
    </row>
    <row r="466" ht="15.75" customHeight="1">
      <c r="D466" s="97"/>
      <c r="F466" s="97"/>
      <c r="G466" s="97"/>
      <c r="H466" s="97"/>
      <c r="I466" s="97"/>
      <c r="J466" s="97"/>
      <c r="W466" s="97"/>
    </row>
    <row r="467" ht="15.75" customHeight="1">
      <c r="D467" s="97"/>
      <c r="F467" s="97"/>
      <c r="G467" s="97"/>
      <c r="H467" s="97"/>
      <c r="I467" s="97"/>
      <c r="J467" s="97"/>
      <c r="W467" s="97"/>
    </row>
    <row r="468" ht="15.75" customHeight="1">
      <c r="D468" s="97"/>
      <c r="F468" s="97"/>
      <c r="G468" s="97"/>
      <c r="H468" s="97"/>
      <c r="I468" s="97"/>
      <c r="J468" s="97"/>
      <c r="W468" s="97"/>
    </row>
    <row r="469" ht="15.75" customHeight="1">
      <c r="D469" s="97"/>
      <c r="F469" s="97"/>
      <c r="G469" s="97"/>
      <c r="H469" s="97"/>
      <c r="I469" s="97"/>
      <c r="J469" s="97"/>
      <c r="W469" s="97"/>
    </row>
    <row r="470" ht="15.75" customHeight="1">
      <c r="D470" s="97"/>
      <c r="F470" s="97"/>
      <c r="G470" s="97"/>
      <c r="H470" s="97"/>
      <c r="I470" s="97"/>
      <c r="J470" s="97"/>
      <c r="W470" s="97"/>
    </row>
    <row r="471" ht="15.75" customHeight="1">
      <c r="D471" s="97"/>
      <c r="F471" s="97"/>
      <c r="G471" s="97"/>
      <c r="H471" s="97"/>
      <c r="I471" s="97"/>
      <c r="J471" s="97"/>
      <c r="W471" s="97"/>
    </row>
    <row r="472" ht="15.75" customHeight="1">
      <c r="D472" s="97"/>
      <c r="F472" s="97"/>
      <c r="G472" s="97"/>
      <c r="H472" s="97"/>
      <c r="I472" s="97"/>
      <c r="J472" s="97"/>
      <c r="W472" s="97"/>
    </row>
    <row r="473" ht="15.75" customHeight="1">
      <c r="D473" s="97"/>
      <c r="F473" s="97"/>
      <c r="G473" s="97"/>
      <c r="H473" s="97"/>
      <c r="I473" s="97"/>
      <c r="J473" s="97"/>
      <c r="W473" s="97"/>
    </row>
    <row r="474" ht="15.75" customHeight="1">
      <c r="D474" s="97"/>
      <c r="F474" s="97"/>
      <c r="G474" s="97"/>
      <c r="H474" s="97"/>
      <c r="I474" s="97"/>
      <c r="J474" s="97"/>
      <c r="W474" s="97"/>
    </row>
    <row r="475" ht="15.75" customHeight="1">
      <c r="D475" s="97"/>
      <c r="F475" s="97"/>
      <c r="G475" s="97"/>
      <c r="H475" s="97"/>
      <c r="I475" s="97"/>
      <c r="J475" s="97"/>
      <c r="W475" s="97"/>
    </row>
    <row r="476" ht="15.75" customHeight="1">
      <c r="D476" s="97"/>
      <c r="F476" s="97"/>
      <c r="G476" s="97"/>
      <c r="H476" s="97"/>
      <c r="I476" s="97"/>
      <c r="J476" s="97"/>
      <c r="W476" s="97"/>
    </row>
    <row r="477" ht="15.75" customHeight="1">
      <c r="D477" s="97"/>
      <c r="F477" s="97"/>
      <c r="G477" s="97"/>
      <c r="H477" s="97"/>
      <c r="I477" s="97"/>
      <c r="J477" s="97"/>
      <c r="W477" s="97"/>
    </row>
    <row r="478" ht="15.75" customHeight="1">
      <c r="D478" s="97"/>
      <c r="F478" s="97"/>
      <c r="G478" s="97"/>
      <c r="H478" s="97"/>
      <c r="I478" s="97"/>
      <c r="J478" s="97"/>
      <c r="W478" s="97"/>
    </row>
    <row r="479" ht="15.75" customHeight="1">
      <c r="D479" s="97"/>
      <c r="F479" s="97"/>
      <c r="G479" s="97"/>
      <c r="H479" s="97"/>
      <c r="I479" s="97"/>
      <c r="J479" s="97"/>
      <c r="W479" s="97"/>
    </row>
    <row r="480" ht="15.75" customHeight="1">
      <c r="D480" s="97"/>
      <c r="F480" s="97"/>
      <c r="G480" s="97"/>
      <c r="H480" s="97"/>
      <c r="I480" s="97"/>
      <c r="J480" s="97"/>
      <c r="W480" s="97"/>
    </row>
    <row r="481" ht="15.75" customHeight="1">
      <c r="D481" s="97"/>
      <c r="F481" s="97"/>
      <c r="G481" s="97"/>
      <c r="H481" s="97"/>
      <c r="I481" s="97"/>
      <c r="J481" s="97"/>
      <c r="W481" s="97"/>
    </row>
    <row r="482" ht="15.75" customHeight="1">
      <c r="D482" s="97"/>
      <c r="F482" s="97"/>
      <c r="G482" s="97"/>
      <c r="H482" s="97"/>
      <c r="I482" s="97"/>
      <c r="J482" s="97"/>
      <c r="W482" s="97"/>
    </row>
    <row r="483" ht="15.75" customHeight="1">
      <c r="D483" s="97"/>
      <c r="F483" s="97"/>
      <c r="G483" s="97"/>
      <c r="H483" s="97"/>
      <c r="I483" s="97"/>
      <c r="J483" s="97"/>
      <c r="W483" s="97"/>
    </row>
    <row r="484" ht="15.75" customHeight="1">
      <c r="D484" s="97"/>
      <c r="F484" s="97"/>
      <c r="G484" s="97"/>
      <c r="H484" s="97"/>
      <c r="I484" s="97"/>
      <c r="J484" s="97"/>
      <c r="W484" s="97"/>
    </row>
    <row r="485" ht="15.75" customHeight="1">
      <c r="D485" s="97"/>
      <c r="F485" s="97"/>
      <c r="G485" s="97"/>
      <c r="H485" s="97"/>
      <c r="I485" s="97"/>
      <c r="J485" s="97"/>
      <c r="W485" s="97"/>
    </row>
    <row r="486" ht="15.75" customHeight="1">
      <c r="D486" s="97"/>
      <c r="F486" s="97"/>
      <c r="G486" s="97"/>
      <c r="H486" s="97"/>
      <c r="I486" s="97"/>
      <c r="J486" s="97"/>
      <c r="W486" s="97"/>
    </row>
    <row r="487" ht="15.75" customHeight="1">
      <c r="D487" s="97"/>
      <c r="F487" s="97"/>
      <c r="G487" s="97"/>
      <c r="H487" s="97"/>
      <c r="I487" s="97"/>
      <c r="J487" s="97"/>
      <c r="W487" s="97"/>
    </row>
    <row r="488" ht="15.75" customHeight="1">
      <c r="D488" s="97"/>
      <c r="F488" s="97"/>
      <c r="G488" s="97"/>
      <c r="H488" s="97"/>
      <c r="I488" s="97"/>
      <c r="J488" s="97"/>
      <c r="W488" s="97"/>
    </row>
    <row r="489" ht="15.75" customHeight="1">
      <c r="D489" s="97"/>
      <c r="F489" s="97"/>
      <c r="G489" s="97"/>
      <c r="H489" s="97"/>
      <c r="I489" s="97"/>
      <c r="J489" s="97"/>
      <c r="W489" s="97"/>
    </row>
    <row r="490" ht="15.75" customHeight="1">
      <c r="D490" s="97"/>
      <c r="F490" s="97"/>
      <c r="G490" s="97"/>
      <c r="H490" s="97"/>
      <c r="I490" s="97"/>
      <c r="J490" s="97"/>
      <c r="W490" s="97"/>
    </row>
    <row r="491" ht="15.75" customHeight="1">
      <c r="D491" s="97"/>
      <c r="F491" s="97"/>
      <c r="G491" s="97"/>
      <c r="H491" s="97"/>
      <c r="I491" s="97"/>
      <c r="J491" s="97"/>
      <c r="W491" s="97"/>
    </row>
    <row r="492" ht="15.75" customHeight="1">
      <c r="D492" s="97"/>
      <c r="F492" s="97"/>
      <c r="G492" s="97"/>
      <c r="H492" s="97"/>
      <c r="I492" s="97"/>
      <c r="J492" s="97"/>
      <c r="W492" s="97"/>
    </row>
    <row r="493" ht="15.75" customHeight="1">
      <c r="D493" s="97"/>
      <c r="F493" s="97"/>
      <c r="G493" s="97"/>
      <c r="H493" s="97"/>
      <c r="I493" s="97"/>
      <c r="J493" s="97"/>
      <c r="W493" s="97"/>
    </row>
    <row r="494" ht="15.75" customHeight="1">
      <c r="D494" s="97"/>
      <c r="F494" s="97"/>
      <c r="G494" s="97"/>
      <c r="H494" s="97"/>
      <c r="I494" s="97"/>
      <c r="J494" s="97"/>
      <c r="W494" s="97"/>
    </row>
    <row r="495" ht="15.75" customHeight="1">
      <c r="D495" s="97"/>
      <c r="F495" s="97"/>
      <c r="G495" s="97"/>
      <c r="H495" s="97"/>
      <c r="I495" s="97"/>
      <c r="J495" s="97"/>
      <c r="W495" s="97"/>
    </row>
    <row r="496" ht="15.75" customHeight="1">
      <c r="D496" s="97"/>
      <c r="F496" s="97"/>
      <c r="G496" s="97"/>
      <c r="H496" s="97"/>
      <c r="I496" s="97"/>
      <c r="J496" s="97"/>
      <c r="W496" s="97"/>
    </row>
    <row r="497" ht="15.75" customHeight="1">
      <c r="D497" s="97"/>
      <c r="F497" s="97"/>
      <c r="G497" s="97"/>
      <c r="H497" s="97"/>
      <c r="I497" s="97"/>
      <c r="J497" s="97"/>
      <c r="W497" s="97"/>
    </row>
    <row r="498" ht="15.75" customHeight="1">
      <c r="D498" s="97"/>
      <c r="F498" s="97"/>
      <c r="G498" s="97"/>
      <c r="H498" s="97"/>
      <c r="I498" s="97"/>
      <c r="J498" s="97"/>
      <c r="W498" s="97"/>
    </row>
    <row r="499" ht="15.75" customHeight="1">
      <c r="D499" s="97"/>
      <c r="F499" s="97"/>
      <c r="G499" s="97"/>
      <c r="H499" s="97"/>
      <c r="I499" s="97"/>
      <c r="J499" s="97"/>
      <c r="W499" s="97"/>
    </row>
    <row r="500" ht="15.75" customHeight="1">
      <c r="D500" s="97"/>
      <c r="F500" s="97"/>
      <c r="G500" s="97"/>
      <c r="H500" s="97"/>
      <c r="I500" s="97"/>
      <c r="J500" s="97"/>
      <c r="W500" s="97"/>
    </row>
    <row r="501" ht="15.75" customHeight="1">
      <c r="D501" s="97"/>
      <c r="F501" s="97"/>
      <c r="G501" s="97"/>
      <c r="H501" s="97"/>
      <c r="I501" s="97"/>
      <c r="J501" s="97"/>
      <c r="W501" s="97"/>
    </row>
    <row r="502" ht="15.75" customHeight="1">
      <c r="D502" s="97"/>
      <c r="F502" s="97"/>
      <c r="G502" s="97"/>
      <c r="H502" s="97"/>
      <c r="I502" s="97"/>
      <c r="J502" s="97"/>
      <c r="W502" s="97"/>
    </row>
    <row r="503" ht="15.75" customHeight="1">
      <c r="D503" s="97"/>
      <c r="F503" s="97"/>
      <c r="G503" s="97"/>
      <c r="H503" s="97"/>
      <c r="I503" s="97"/>
      <c r="J503" s="97"/>
      <c r="W503" s="97"/>
    </row>
    <row r="504" ht="15.75" customHeight="1">
      <c r="D504" s="97"/>
      <c r="F504" s="97"/>
      <c r="G504" s="97"/>
      <c r="H504" s="97"/>
      <c r="I504" s="97"/>
      <c r="J504" s="97"/>
      <c r="W504" s="97"/>
    </row>
    <row r="505" ht="15.75" customHeight="1">
      <c r="D505" s="97"/>
      <c r="F505" s="97"/>
      <c r="G505" s="97"/>
      <c r="H505" s="97"/>
      <c r="I505" s="97"/>
      <c r="J505" s="97"/>
      <c r="W505" s="97"/>
    </row>
    <row r="506" ht="15.75" customHeight="1">
      <c r="D506" s="97"/>
      <c r="F506" s="97"/>
      <c r="G506" s="97"/>
      <c r="H506" s="97"/>
      <c r="I506" s="97"/>
      <c r="J506" s="97"/>
      <c r="W506" s="97"/>
    </row>
    <row r="507" ht="15.75" customHeight="1">
      <c r="D507" s="97"/>
      <c r="F507" s="97"/>
      <c r="G507" s="97"/>
      <c r="H507" s="97"/>
      <c r="I507" s="97"/>
      <c r="J507" s="97"/>
      <c r="W507" s="97"/>
    </row>
    <row r="508" ht="15.75" customHeight="1">
      <c r="D508" s="97"/>
      <c r="F508" s="97"/>
      <c r="G508" s="97"/>
      <c r="H508" s="97"/>
      <c r="I508" s="97"/>
      <c r="J508" s="97"/>
      <c r="W508" s="97"/>
    </row>
    <row r="509" ht="15.75" customHeight="1">
      <c r="D509" s="97"/>
      <c r="F509" s="97"/>
      <c r="G509" s="97"/>
      <c r="H509" s="97"/>
      <c r="I509" s="97"/>
      <c r="J509" s="97"/>
      <c r="W509" s="97"/>
    </row>
    <row r="510" ht="15.75" customHeight="1">
      <c r="D510" s="97"/>
      <c r="F510" s="97"/>
      <c r="G510" s="97"/>
      <c r="H510" s="97"/>
      <c r="I510" s="97"/>
      <c r="J510" s="97"/>
      <c r="W510" s="97"/>
    </row>
    <row r="511" ht="15.75" customHeight="1">
      <c r="D511" s="97"/>
      <c r="F511" s="97"/>
      <c r="G511" s="97"/>
      <c r="H511" s="97"/>
      <c r="I511" s="97"/>
      <c r="J511" s="97"/>
      <c r="W511" s="97"/>
    </row>
    <row r="512" ht="15.75" customHeight="1">
      <c r="D512" s="97"/>
      <c r="F512" s="97"/>
      <c r="G512" s="97"/>
      <c r="H512" s="97"/>
      <c r="I512" s="97"/>
      <c r="J512" s="97"/>
      <c r="W512" s="97"/>
    </row>
    <row r="513" ht="15.75" customHeight="1">
      <c r="D513" s="97"/>
      <c r="F513" s="97"/>
      <c r="G513" s="97"/>
      <c r="H513" s="97"/>
      <c r="I513" s="97"/>
      <c r="J513" s="97"/>
      <c r="W513" s="97"/>
    </row>
    <row r="514" ht="15.75" customHeight="1">
      <c r="D514" s="97"/>
      <c r="F514" s="97"/>
      <c r="G514" s="97"/>
      <c r="H514" s="97"/>
      <c r="I514" s="97"/>
      <c r="J514" s="97"/>
      <c r="W514" s="97"/>
    </row>
    <row r="515" ht="15.75" customHeight="1">
      <c r="D515" s="97"/>
      <c r="F515" s="97"/>
      <c r="G515" s="97"/>
      <c r="H515" s="97"/>
      <c r="I515" s="97"/>
      <c r="J515" s="97"/>
      <c r="W515" s="97"/>
    </row>
    <row r="516" ht="15.75" customHeight="1">
      <c r="D516" s="97"/>
      <c r="F516" s="97"/>
      <c r="G516" s="97"/>
      <c r="H516" s="97"/>
      <c r="I516" s="97"/>
      <c r="J516" s="97"/>
      <c r="W516" s="97"/>
    </row>
    <row r="517" ht="15.75" customHeight="1">
      <c r="D517" s="97"/>
      <c r="F517" s="97"/>
      <c r="G517" s="97"/>
      <c r="H517" s="97"/>
      <c r="I517" s="97"/>
      <c r="J517" s="97"/>
      <c r="W517" s="97"/>
    </row>
    <row r="518" ht="15.75" customHeight="1">
      <c r="D518" s="97"/>
      <c r="F518" s="97"/>
      <c r="G518" s="97"/>
      <c r="H518" s="97"/>
      <c r="I518" s="97"/>
      <c r="J518" s="97"/>
      <c r="W518" s="97"/>
    </row>
    <row r="519" ht="15.75" customHeight="1">
      <c r="D519" s="97"/>
      <c r="F519" s="97"/>
      <c r="G519" s="97"/>
      <c r="H519" s="97"/>
      <c r="I519" s="97"/>
      <c r="J519" s="97"/>
      <c r="W519" s="97"/>
    </row>
    <row r="520" ht="15.75" customHeight="1">
      <c r="D520" s="97"/>
      <c r="F520" s="97"/>
      <c r="G520" s="97"/>
      <c r="H520" s="97"/>
      <c r="I520" s="97"/>
      <c r="J520" s="97"/>
      <c r="W520" s="97"/>
    </row>
    <row r="521" ht="15.75" customHeight="1">
      <c r="D521" s="97"/>
      <c r="F521" s="97"/>
      <c r="G521" s="97"/>
      <c r="H521" s="97"/>
      <c r="I521" s="97"/>
      <c r="J521" s="97"/>
      <c r="W521" s="97"/>
    </row>
    <row r="522" ht="15.75" customHeight="1">
      <c r="D522" s="97"/>
      <c r="F522" s="97"/>
      <c r="G522" s="97"/>
      <c r="H522" s="97"/>
      <c r="I522" s="97"/>
      <c r="J522" s="97"/>
      <c r="W522" s="97"/>
    </row>
    <row r="523" ht="15.75" customHeight="1">
      <c r="D523" s="97"/>
      <c r="F523" s="97"/>
      <c r="G523" s="97"/>
      <c r="H523" s="97"/>
      <c r="I523" s="97"/>
      <c r="J523" s="97"/>
      <c r="W523" s="97"/>
    </row>
    <row r="524" ht="15.75" customHeight="1">
      <c r="D524" s="97"/>
      <c r="F524" s="97"/>
      <c r="G524" s="97"/>
      <c r="H524" s="97"/>
      <c r="I524" s="97"/>
      <c r="J524" s="97"/>
      <c r="W524" s="97"/>
    </row>
    <row r="525" ht="15.75" customHeight="1">
      <c r="D525" s="97"/>
      <c r="F525" s="97"/>
      <c r="G525" s="97"/>
      <c r="H525" s="97"/>
      <c r="I525" s="97"/>
      <c r="J525" s="97"/>
      <c r="W525" s="97"/>
    </row>
    <row r="526" ht="15.75" customHeight="1">
      <c r="D526" s="97"/>
      <c r="F526" s="97"/>
      <c r="G526" s="97"/>
      <c r="H526" s="97"/>
      <c r="I526" s="97"/>
      <c r="J526" s="97"/>
      <c r="W526" s="97"/>
    </row>
    <row r="527" ht="15.75" customHeight="1">
      <c r="D527" s="97"/>
      <c r="F527" s="97"/>
      <c r="G527" s="97"/>
      <c r="H527" s="97"/>
      <c r="I527" s="97"/>
      <c r="J527" s="97"/>
      <c r="W527" s="97"/>
    </row>
    <row r="528" ht="15.75" customHeight="1">
      <c r="D528" s="97"/>
      <c r="F528" s="97"/>
      <c r="G528" s="97"/>
      <c r="H528" s="97"/>
      <c r="I528" s="97"/>
      <c r="J528" s="97"/>
      <c r="W528" s="97"/>
    </row>
    <row r="529" ht="15.75" customHeight="1">
      <c r="D529" s="97"/>
      <c r="F529" s="97"/>
      <c r="G529" s="97"/>
      <c r="H529" s="97"/>
      <c r="I529" s="97"/>
      <c r="J529" s="97"/>
      <c r="W529" s="97"/>
    </row>
    <row r="530" ht="15.75" customHeight="1">
      <c r="D530" s="97"/>
      <c r="F530" s="97"/>
      <c r="G530" s="97"/>
      <c r="H530" s="97"/>
      <c r="I530" s="97"/>
      <c r="J530" s="97"/>
      <c r="W530" s="97"/>
    </row>
    <row r="531" ht="15.75" customHeight="1">
      <c r="D531" s="97"/>
      <c r="F531" s="97"/>
      <c r="G531" s="97"/>
      <c r="H531" s="97"/>
      <c r="I531" s="97"/>
      <c r="J531" s="97"/>
      <c r="W531" s="97"/>
    </row>
    <row r="532" ht="15.75" customHeight="1">
      <c r="D532" s="97"/>
      <c r="F532" s="97"/>
      <c r="G532" s="97"/>
      <c r="H532" s="97"/>
      <c r="I532" s="97"/>
      <c r="J532" s="97"/>
      <c r="W532" s="97"/>
    </row>
    <row r="533" ht="15.75" customHeight="1">
      <c r="D533" s="97"/>
      <c r="F533" s="97"/>
      <c r="G533" s="97"/>
      <c r="H533" s="97"/>
      <c r="I533" s="97"/>
      <c r="J533" s="97"/>
      <c r="W533" s="97"/>
    </row>
    <row r="534" ht="15.75" customHeight="1">
      <c r="D534" s="97"/>
      <c r="F534" s="97"/>
      <c r="G534" s="97"/>
      <c r="H534" s="97"/>
      <c r="I534" s="97"/>
      <c r="J534" s="97"/>
      <c r="W534" s="97"/>
    </row>
    <row r="535" ht="15.75" customHeight="1">
      <c r="D535" s="97"/>
      <c r="F535" s="97"/>
      <c r="G535" s="97"/>
      <c r="H535" s="97"/>
      <c r="I535" s="97"/>
      <c r="J535" s="97"/>
      <c r="W535" s="97"/>
    </row>
    <row r="536" ht="15.75" customHeight="1">
      <c r="D536" s="97"/>
      <c r="F536" s="97"/>
      <c r="G536" s="97"/>
      <c r="H536" s="97"/>
      <c r="I536" s="97"/>
      <c r="J536" s="97"/>
      <c r="W536" s="97"/>
    </row>
    <row r="537" ht="15.75" customHeight="1">
      <c r="D537" s="97"/>
      <c r="F537" s="97"/>
      <c r="G537" s="97"/>
      <c r="H537" s="97"/>
      <c r="I537" s="97"/>
      <c r="J537" s="97"/>
      <c r="W537" s="97"/>
    </row>
    <row r="538" ht="15.75" customHeight="1">
      <c r="D538" s="97"/>
      <c r="F538" s="97"/>
      <c r="G538" s="97"/>
      <c r="H538" s="97"/>
      <c r="I538" s="97"/>
      <c r="J538" s="97"/>
      <c r="W538" s="97"/>
    </row>
    <row r="539" ht="15.75" customHeight="1">
      <c r="D539" s="97"/>
      <c r="F539" s="97"/>
      <c r="G539" s="97"/>
      <c r="H539" s="97"/>
      <c r="I539" s="97"/>
      <c r="J539" s="97"/>
      <c r="W539" s="97"/>
    </row>
    <row r="540" ht="15.75" customHeight="1">
      <c r="D540" s="97"/>
      <c r="F540" s="97"/>
      <c r="G540" s="97"/>
      <c r="H540" s="97"/>
      <c r="I540" s="97"/>
      <c r="J540" s="97"/>
      <c r="W540" s="97"/>
    </row>
    <row r="541" ht="15.75" customHeight="1">
      <c r="D541" s="97"/>
      <c r="F541" s="97"/>
      <c r="G541" s="97"/>
      <c r="H541" s="97"/>
      <c r="I541" s="97"/>
      <c r="J541" s="97"/>
      <c r="W541" s="97"/>
    </row>
    <row r="542" ht="15.75" customHeight="1">
      <c r="D542" s="97"/>
      <c r="F542" s="97"/>
      <c r="G542" s="97"/>
      <c r="H542" s="97"/>
      <c r="I542" s="97"/>
      <c r="J542" s="97"/>
      <c r="W542" s="97"/>
    </row>
    <row r="543" ht="15.75" customHeight="1">
      <c r="D543" s="97"/>
      <c r="F543" s="97"/>
      <c r="G543" s="97"/>
      <c r="H543" s="97"/>
      <c r="I543" s="97"/>
      <c r="J543" s="97"/>
      <c r="W543" s="97"/>
    </row>
    <row r="544" ht="15.75" customHeight="1">
      <c r="D544" s="97"/>
      <c r="F544" s="97"/>
      <c r="G544" s="97"/>
      <c r="H544" s="97"/>
      <c r="I544" s="97"/>
      <c r="J544" s="97"/>
      <c r="W544" s="97"/>
    </row>
    <row r="545" ht="15.75" customHeight="1">
      <c r="D545" s="97"/>
      <c r="F545" s="97"/>
      <c r="G545" s="97"/>
      <c r="H545" s="97"/>
      <c r="I545" s="97"/>
      <c r="J545" s="97"/>
      <c r="W545" s="97"/>
    </row>
    <row r="546" ht="15.75" customHeight="1">
      <c r="D546" s="97"/>
      <c r="F546" s="97"/>
      <c r="G546" s="97"/>
      <c r="H546" s="97"/>
      <c r="I546" s="97"/>
      <c r="J546" s="97"/>
      <c r="W546" s="97"/>
    </row>
    <row r="547" ht="15.75" customHeight="1">
      <c r="D547" s="97"/>
      <c r="F547" s="97"/>
      <c r="G547" s="97"/>
      <c r="H547" s="97"/>
      <c r="I547" s="97"/>
      <c r="J547" s="97"/>
      <c r="W547" s="97"/>
    </row>
    <row r="548" ht="15.75" customHeight="1">
      <c r="D548" s="97"/>
      <c r="F548" s="97"/>
      <c r="G548" s="97"/>
      <c r="H548" s="97"/>
      <c r="I548" s="97"/>
      <c r="J548" s="97"/>
      <c r="W548" s="97"/>
    </row>
    <row r="549" ht="15.75" customHeight="1">
      <c r="D549" s="97"/>
      <c r="F549" s="97"/>
      <c r="G549" s="97"/>
      <c r="H549" s="97"/>
      <c r="I549" s="97"/>
      <c r="J549" s="97"/>
      <c r="W549" s="97"/>
    </row>
    <row r="550" ht="15.75" customHeight="1">
      <c r="D550" s="97"/>
      <c r="F550" s="97"/>
      <c r="G550" s="97"/>
      <c r="H550" s="97"/>
      <c r="I550" s="97"/>
      <c r="J550" s="97"/>
      <c r="W550" s="97"/>
    </row>
    <row r="551" ht="15.75" customHeight="1">
      <c r="D551" s="97"/>
      <c r="F551" s="97"/>
      <c r="G551" s="97"/>
      <c r="H551" s="97"/>
      <c r="I551" s="97"/>
      <c r="J551" s="97"/>
      <c r="W551" s="97"/>
    </row>
    <row r="552" ht="15.75" customHeight="1">
      <c r="D552" s="97"/>
      <c r="F552" s="97"/>
      <c r="G552" s="97"/>
      <c r="H552" s="97"/>
      <c r="I552" s="97"/>
      <c r="J552" s="97"/>
      <c r="W552" s="97"/>
    </row>
    <row r="553" ht="15.75" customHeight="1">
      <c r="D553" s="97"/>
      <c r="F553" s="97"/>
      <c r="G553" s="97"/>
      <c r="H553" s="97"/>
      <c r="I553" s="97"/>
      <c r="J553" s="97"/>
      <c r="W553" s="97"/>
    </row>
    <row r="554" ht="15.75" customHeight="1">
      <c r="D554" s="97"/>
      <c r="F554" s="97"/>
      <c r="G554" s="97"/>
      <c r="H554" s="97"/>
      <c r="I554" s="97"/>
      <c r="J554" s="97"/>
      <c r="W554" s="97"/>
    </row>
    <row r="555" ht="15.75" customHeight="1">
      <c r="D555" s="97"/>
      <c r="F555" s="97"/>
      <c r="G555" s="97"/>
      <c r="H555" s="97"/>
      <c r="I555" s="97"/>
      <c r="J555" s="97"/>
      <c r="W555" s="97"/>
    </row>
    <row r="556" ht="15.75" customHeight="1">
      <c r="D556" s="97"/>
      <c r="F556" s="97"/>
      <c r="G556" s="97"/>
      <c r="H556" s="97"/>
      <c r="I556" s="97"/>
      <c r="J556" s="97"/>
      <c r="W556" s="97"/>
    </row>
    <row r="557" ht="15.75" customHeight="1">
      <c r="D557" s="97"/>
      <c r="F557" s="97"/>
      <c r="G557" s="97"/>
      <c r="H557" s="97"/>
      <c r="I557" s="97"/>
      <c r="J557" s="97"/>
      <c r="W557" s="97"/>
    </row>
    <row r="558" ht="15.75" customHeight="1">
      <c r="D558" s="97"/>
      <c r="F558" s="97"/>
      <c r="G558" s="97"/>
      <c r="H558" s="97"/>
      <c r="I558" s="97"/>
      <c r="J558" s="97"/>
      <c r="W558" s="97"/>
    </row>
    <row r="559" ht="15.75" customHeight="1">
      <c r="D559" s="97"/>
      <c r="F559" s="97"/>
      <c r="G559" s="97"/>
      <c r="H559" s="97"/>
      <c r="I559" s="97"/>
      <c r="J559" s="97"/>
      <c r="W559" s="97"/>
    </row>
    <row r="560" ht="15.75" customHeight="1">
      <c r="D560" s="97"/>
      <c r="F560" s="97"/>
      <c r="G560" s="97"/>
      <c r="H560" s="97"/>
      <c r="I560" s="97"/>
      <c r="J560" s="97"/>
      <c r="W560" s="97"/>
    </row>
    <row r="561" ht="15.75" customHeight="1">
      <c r="D561" s="97"/>
      <c r="F561" s="97"/>
      <c r="G561" s="97"/>
      <c r="H561" s="97"/>
      <c r="I561" s="97"/>
      <c r="J561" s="97"/>
      <c r="W561" s="97"/>
    </row>
    <row r="562" ht="15.75" customHeight="1">
      <c r="D562" s="97"/>
      <c r="F562" s="97"/>
      <c r="G562" s="97"/>
      <c r="H562" s="97"/>
      <c r="I562" s="97"/>
      <c r="J562" s="97"/>
      <c r="W562" s="97"/>
    </row>
    <row r="563" ht="15.75" customHeight="1">
      <c r="D563" s="97"/>
      <c r="F563" s="97"/>
      <c r="G563" s="97"/>
      <c r="H563" s="97"/>
      <c r="I563" s="97"/>
      <c r="J563" s="97"/>
      <c r="W563" s="97"/>
    </row>
    <row r="564" ht="15.75" customHeight="1">
      <c r="D564" s="97"/>
      <c r="F564" s="97"/>
      <c r="G564" s="97"/>
      <c r="H564" s="97"/>
      <c r="I564" s="97"/>
      <c r="J564" s="97"/>
      <c r="W564" s="97"/>
    </row>
    <row r="565" ht="15.75" customHeight="1">
      <c r="D565" s="97"/>
      <c r="F565" s="97"/>
      <c r="G565" s="97"/>
      <c r="H565" s="97"/>
      <c r="I565" s="97"/>
      <c r="J565" s="97"/>
      <c r="W565" s="97"/>
    </row>
    <row r="566" ht="15.75" customHeight="1">
      <c r="D566" s="97"/>
      <c r="F566" s="97"/>
      <c r="G566" s="97"/>
      <c r="H566" s="97"/>
      <c r="I566" s="97"/>
      <c r="J566" s="97"/>
      <c r="W566" s="97"/>
    </row>
    <row r="567" ht="15.75" customHeight="1">
      <c r="D567" s="97"/>
      <c r="F567" s="97"/>
      <c r="G567" s="97"/>
      <c r="H567" s="97"/>
      <c r="I567" s="97"/>
      <c r="J567" s="97"/>
      <c r="W567" s="97"/>
    </row>
    <row r="568" ht="15.75" customHeight="1">
      <c r="D568" s="97"/>
      <c r="F568" s="97"/>
      <c r="G568" s="97"/>
      <c r="H568" s="97"/>
      <c r="I568" s="97"/>
      <c r="J568" s="97"/>
      <c r="W568" s="97"/>
    </row>
    <row r="569" ht="15.75" customHeight="1">
      <c r="D569" s="97"/>
      <c r="F569" s="97"/>
      <c r="G569" s="97"/>
      <c r="H569" s="97"/>
      <c r="I569" s="97"/>
      <c r="J569" s="97"/>
      <c r="W569" s="97"/>
    </row>
    <row r="570" ht="15.75" customHeight="1">
      <c r="D570" s="97"/>
      <c r="F570" s="97"/>
      <c r="G570" s="97"/>
      <c r="H570" s="97"/>
      <c r="I570" s="97"/>
      <c r="J570" s="97"/>
      <c r="W570" s="97"/>
    </row>
    <row r="571" ht="15.75" customHeight="1">
      <c r="D571" s="97"/>
      <c r="F571" s="97"/>
      <c r="G571" s="97"/>
      <c r="H571" s="97"/>
      <c r="I571" s="97"/>
      <c r="J571" s="97"/>
      <c r="W571" s="97"/>
    </row>
    <row r="572" ht="15.75" customHeight="1">
      <c r="D572" s="97"/>
      <c r="F572" s="97"/>
      <c r="G572" s="97"/>
      <c r="H572" s="97"/>
      <c r="I572" s="97"/>
      <c r="J572" s="97"/>
      <c r="W572" s="97"/>
    </row>
    <row r="573" ht="15.75" customHeight="1">
      <c r="D573" s="97"/>
      <c r="F573" s="97"/>
      <c r="G573" s="97"/>
      <c r="H573" s="97"/>
      <c r="I573" s="97"/>
      <c r="J573" s="97"/>
      <c r="W573" s="97"/>
    </row>
    <row r="574" ht="15.75" customHeight="1">
      <c r="D574" s="97"/>
      <c r="F574" s="97"/>
      <c r="G574" s="97"/>
      <c r="H574" s="97"/>
      <c r="I574" s="97"/>
      <c r="J574" s="97"/>
      <c r="W574" s="97"/>
    </row>
    <row r="575" ht="15.75" customHeight="1">
      <c r="D575" s="97"/>
      <c r="F575" s="97"/>
      <c r="G575" s="97"/>
      <c r="H575" s="97"/>
      <c r="I575" s="97"/>
      <c r="J575" s="97"/>
      <c r="W575" s="97"/>
    </row>
    <row r="576" ht="15.75" customHeight="1">
      <c r="D576" s="97"/>
      <c r="F576" s="97"/>
      <c r="G576" s="97"/>
      <c r="H576" s="97"/>
      <c r="I576" s="97"/>
      <c r="J576" s="97"/>
      <c r="W576" s="97"/>
    </row>
    <row r="577" ht="15.75" customHeight="1">
      <c r="D577" s="97"/>
      <c r="F577" s="97"/>
      <c r="G577" s="97"/>
      <c r="H577" s="97"/>
      <c r="I577" s="97"/>
      <c r="J577" s="97"/>
      <c r="W577" s="97"/>
    </row>
    <row r="578" ht="15.75" customHeight="1">
      <c r="D578" s="97"/>
      <c r="F578" s="97"/>
      <c r="G578" s="97"/>
      <c r="H578" s="97"/>
      <c r="I578" s="97"/>
      <c r="J578" s="97"/>
      <c r="W578" s="97"/>
    </row>
    <row r="579" ht="15.75" customHeight="1">
      <c r="D579" s="97"/>
      <c r="F579" s="97"/>
      <c r="G579" s="97"/>
      <c r="H579" s="97"/>
      <c r="I579" s="97"/>
      <c r="J579" s="97"/>
      <c r="W579" s="97"/>
    </row>
    <row r="580" ht="15.75" customHeight="1">
      <c r="D580" s="97"/>
      <c r="F580" s="97"/>
      <c r="G580" s="97"/>
      <c r="H580" s="97"/>
      <c r="I580" s="97"/>
      <c r="J580" s="97"/>
      <c r="W580" s="97"/>
    </row>
    <row r="581" ht="15.75" customHeight="1">
      <c r="D581" s="97"/>
      <c r="F581" s="97"/>
      <c r="G581" s="97"/>
      <c r="H581" s="97"/>
      <c r="I581" s="97"/>
      <c r="J581" s="97"/>
      <c r="W581" s="97"/>
    </row>
    <row r="582" ht="15.75" customHeight="1">
      <c r="D582" s="97"/>
      <c r="F582" s="97"/>
      <c r="G582" s="97"/>
      <c r="H582" s="97"/>
      <c r="I582" s="97"/>
      <c r="J582" s="97"/>
      <c r="W582" s="97"/>
    </row>
    <row r="583" ht="15.75" customHeight="1">
      <c r="D583" s="97"/>
      <c r="F583" s="97"/>
      <c r="G583" s="97"/>
      <c r="H583" s="97"/>
      <c r="I583" s="97"/>
      <c r="J583" s="97"/>
      <c r="W583" s="97"/>
    </row>
    <row r="584" ht="15.75" customHeight="1">
      <c r="D584" s="97"/>
      <c r="F584" s="97"/>
      <c r="G584" s="97"/>
      <c r="H584" s="97"/>
      <c r="I584" s="97"/>
      <c r="J584" s="97"/>
      <c r="W584" s="97"/>
    </row>
    <row r="585" ht="15.75" customHeight="1">
      <c r="D585" s="97"/>
      <c r="F585" s="97"/>
      <c r="G585" s="97"/>
      <c r="H585" s="97"/>
      <c r="I585" s="97"/>
      <c r="J585" s="97"/>
      <c r="W585" s="97"/>
    </row>
    <row r="586" ht="15.75" customHeight="1">
      <c r="D586" s="97"/>
      <c r="F586" s="97"/>
      <c r="G586" s="97"/>
      <c r="H586" s="97"/>
      <c r="I586" s="97"/>
      <c r="J586" s="97"/>
      <c r="W586" s="97"/>
    </row>
    <row r="587" ht="15.75" customHeight="1">
      <c r="D587" s="97"/>
      <c r="F587" s="97"/>
      <c r="G587" s="97"/>
      <c r="H587" s="97"/>
      <c r="I587" s="97"/>
      <c r="J587" s="97"/>
      <c r="W587" s="97"/>
    </row>
    <row r="588" ht="15.75" customHeight="1">
      <c r="D588" s="97"/>
      <c r="F588" s="97"/>
      <c r="G588" s="97"/>
      <c r="H588" s="97"/>
      <c r="I588" s="97"/>
      <c r="J588" s="97"/>
      <c r="W588" s="97"/>
    </row>
    <row r="589" ht="15.75" customHeight="1">
      <c r="D589" s="97"/>
      <c r="F589" s="97"/>
      <c r="G589" s="97"/>
      <c r="H589" s="97"/>
      <c r="I589" s="97"/>
      <c r="J589" s="97"/>
      <c r="W589" s="97"/>
    </row>
    <row r="590" ht="15.75" customHeight="1">
      <c r="D590" s="97"/>
      <c r="F590" s="97"/>
      <c r="G590" s="97"/>
      <c r="H590" s="97"/>
      <c r="I590" s="97"/>
      <c r="J590" s="97"/>
      <c r="W590" s="97"/>
    </row>
    <row r="591" ht="15.75" customHeight="1">
      <c r="D591" s="97"/>
      <c r="F591" s="97"/>
      <c r="G591" s="97"/>
      <c r="H591" s="97"/>
      <c r="I591" s="97"/>
      <c r="J591" s="97"/>
      <c r="W591" s="97"/>
    </row>
    <row r="592" ht="15.75" customHeight="1">
      <c r="D592" s="97"/>
      <c r="F592" s="97"/>
      <c r="G592" s="97"/>
      <c r="H592" s="97"/>
      <c r="I592" s="97"/>
      <c r="J592" s="97"/>
      <c r="W592" s="97"/>
    </row>
    <row r="593" ht="15.75" customHeight="1">
      <c r="D593" s="97"/>
      <c r="F593" s="97"/>
      <c r="G593" s="97"/>
      <c r="H593" s="97"/>
      <c r="I593" s="97"/>
      <c r="J593" s="97"/>
      <c r="W593" s="97"/>
    </row>
    <row r="594" ht="15.75" customHeight="1">
      <c r="D594" s="97"/>
      <c r="F594" s="97"/>
      <c r="G594" s="97"/>
      <c r="H594" s="97"/>
      <c r="I594" s="97"/>
      <c r="J594" s="97"/>
      <c r="W594" s="97"/>
    </row>
    <row r="595" ht="15.75" customHeight="1">
      <c r="D595" s="97"/>
      <c r="F595" s="97"/>
      <c r="G595" s="97"/>
      <c r="H595" s="97"/>
      <c r="I595" s="97"/>
      <c r="J595" s="97"/>
      <c r="W595" s="97"/>
    </row>
    <row r="596" ht="15.75" customHeight="1">
      <c r="D596" s="97"/>
      <c r="F596" s="97"/>
      <c r="G596" s="97"/>
      <c r="H596" s="97"/>
      <c r="I596" s="97"/>
      <c r="J596" s="97"/>
      <c r="W596" s="97"/>
    </row>
    <row r="597" ht="15.75" customHeight="1">
      <c r="D597" s="97"/>
      <c r="F597" s="97"/>
      <c r="G597" s="97"/>
      <c r="H597" s="97"/>
      <c r="I597" s="97"/>
      <c r="J597" s="97"/>
      <c r="W597" s="97"/>
    </row>
    <row r="598" ht="15.75" customHeight="1">
      <c r="D598" s="97"/>
      <c r="F598" s="97"/>
      <c r="G598" s="97"/>
      <c r="H598" s="97"/>
      <c r="I598" s="97"/>
      <c r="J598" s="97"/>
      <c r="W598" s="97"/>
    </row>
    <row r="599" ht="15.75" customHeight="1">
      <c r="D599" s="97"/>
      <c r="F599" s="97"/>
      <c r="G599" s="97"/>
      <c r="H599" s="97"/>
      <c r="I599" s="97"/>
      <c r="J599" s="97"/>
      <c r="W599" s="97"/>
    </row>
    <row r="600" ht="15.75" customHeight="1">
      <c r="D600" s="97"/>
      <c r="F600" s="97"/>
      <c r="G600" s="97"/>
      <c r="H600" s="97"/>
      <c r="I600" s="97"/>
      <c r="J600" s="97"/>
      <c r="W600" s="97"/>
    </row>
    <row r="601" ht="15.75" customHeight="1">
      <c r="D601" s="97"/>
      <c r="F601" s="97"/>
      <c r="G601" s="97"/>
      <c r="H601" s="97"/>
      <c r="I601" s="97"/>
      <c r="J601" s="97"/>
      <c r="W601" s="97"/>
    </row>
    <row r="602" ht="15.75" customHeight="1">
      <c r="D602" s="97"/>
      <c r="F602" s="97"/>
      <c r="G602" s="97"/>
      <c r="H602" s="97"/>
      <c r="I602" s="97"/>
      <c r="J602" s="97"/>
      <c r="W602" s="97"/>
    </row>
    <row r="603" ht="15.75" customHeight="1">
      <c r="D603" s="97"/>
      <c r="F603" s="97"/>
      <c r="G603" s="97"/>
      <c r="H603" s="97"/>
      <c r="I603" s="97"/>
      <c r="J603" s="97"/>
      <c r="W603" s="97"/>
    </row>
    <row r="604" ht="15.75" customHeight="1">
      <c r="D604" s="97"/>
      <c r="F604" s="97"/>
      <c r="G604" s="97"/>
      <c r="H604" s="97"/>
      <c r="I604" s="97"/>
      <c r="J604" s="97"/>
      <c r="W604" s="97"/>
    </row>
    <row r="605" ht="15.75" customHeight="1">
      <c r="D605" s="97"/>
      <c r="F605" s="97"/>
      <c r="G605" s="97"/>
      <c r="H605" s="97"/>
      <c r="I605" s="97"/>
      <c r="J605" s="97"/>
      <c r="W605" s="97"/>
    </row>
    <row r="606" ht="15.75" customHeight="1">
      <c r="D606" s="97"/>
      <c r="F606" s="97"/>
      <c r="G606" s="97"/>
      <c r="H606" s="97"/>
      <c r="I606" s="97"/>
      <c r="J606" s="97"/>
      <c r="W606" s="97"/>
    </row>
    <row r="607" ht="15.75" customHeight="1">
      <c r="D607" s="97"/>
      <c r="F607" s="97"/>
      <c r="G607" s="97"/>
      <c r="H607" s="97"/>
      <c r="I607" s="97"/>
      <c r="J607" s="97"/>
      <c r="W607" s="97"/>
    </row>
    <row r="608" ht="15.75" customHeight="1">
      <c r="D608" s="97"/>
      <c r="F608" s="97"/>
      <c r="G608" s="97"/>
      <c r="H608" s="97"/>
      <c r="I608" s="97"/>
      <c r="J608" s="97"/>
      <c r="W608" s="97"/>
    </row>
    <row r="609" ht="15.75" customHeight="1">
      <c r="D609" s="97"/>
      <c r="F609" s="97"/>
      <c r="G609" s="97"/>
      <c r="H609" s="97"/>
      <c r="I609" s="97"/>
      <c r="J609" s="97"/>
      <c r="W609" s="97"/>
    </row>
    <row r="610" ht="15.75" customHeight="1">
      <c r="D610" s="97"/>
      <c r="F610" s="97"/>
      <c r="G610" s="97"/>
      <c r="H610" s="97"/>
      <c r="I610" s="97"/>
      <c r="J610" s="97"/>
      <c r="W610" s="97"/>
    </row>
    <row r="611" ht="15.75" customHeight="1">
      <c r="D611" s="97"/>
      <c r="F611" s="97"/>
      <c r="G611" s="97"/>
      <c r="H611" s="97"/>
      <c r="I611" s="97"/>
      <c r="J611" s="97"/>
      <c r="W611" s="97"/>
    </row>
    <row r="612" ht="15.75" customHeight="1">
      <c r="D612" s="97"/>
      <c r="F612" s="97"/>
      <c r="G612" s="97"/>
      <c r="H612" s="97"/>
      <c r="I612" s="97"/>
      <c r="J612" s="97"/>
      <c r="W612" s="97"/>
    </row>
    <row r="613" ht="15.75" customHeight="1">
      <c r="D613" s="97"/>
      <c r="F613" s="97"/>
      <c r="G613" s="97"/>
      <c r="H613" s="97"/>
      <c r="I613" s="97"/>
      <c r="J613" s="97"/>
      <c r="W613" s="97"/>
    </row>
    <row r="614" ht="15.75" customHeight="1">
      <c r="D614" s="97"/>
      <c r="F614" s="97"/>
      <c r="G614" s="97"/>
      <c r="H614" s="97"/>
      <c r="I614" s="97"/>
      <c r="J614" s="97"/>
      <c r="W614" s="97"/>
    </row>
    <row r="615" ht="15.75" customHeight="1">
      <c r="D615" s="97"/>
      <c r="F615" s="97"/>
      <c r="G615" s="97"/>
      <c r="H615" s="97"/>
      <c r="I615" s="97"/>
      <c r="J615" s="97"/>
      <c r="W615" s="97"/>
    </row>
    <row r="616" ht="15.75" customHeight="1">
      <c r="D616" s="97"/>
      <c r="F616" s="97"/>
      <c r="G616" s="97"/>
      <c r="H616" s="97"/>
      <c r="I616" s="97"/>
      <c r="J616" s="97"/>
      <c r="W616" s="97"/>
    </row>
    <row r="617" ht="15.75" customHeight="1">
      <c r="D617" s="97"/>
      <c r="F617" s="97"/>
      <c r="G617" s="97"/>
      <c r="H617" s="97"/>
      <c r="I617" s="97"/>
      <c r="J617" s="97"/>
      <c r="W617" s="97"/>
    </row>
    <row r="618" ht="15.75" customHeight="1">
      <c r="D618" s="97"/>
      <c r="F618" s="97"/>
      <c r="G618" s="97"/>
      <c r="H618" s="97"/>
      <c r="I618" s="97"/>
      <c r="J618" s="97"/>
      <c r="W618" s="97"/>
    </row>
    <row r="619" ht="15.75" customHeight="1">
      <c r="D619" s="97"/>
      <c r="F619" s="97"/>
      <c r="G619" s="97"/>
      <c r="H619" s="97"/>
      <c r="I619" s="97"/>
      <c r="J619" s="97"/>
      <c r="W619" s="97"/>
    </row>
    <row r="620" ht="15.75" customHeight="1">
      <c r="D620" s="97"/>
      <c r="F620" s="97"/>
      <c r="G620" s="97"/>
      <c r="H620" s="97"/>
      <c r="I620" s="97"/>
      <c r="J620" s="97"/>
      <c r="W620" s="97"/>
    </row>
    <row r="621" ht="15.75" customHeight="1">
      <c r="D621" s="97"/>
      <c r="F621" s="97"/>
      <c r="G621" s="97"/>
      <c r="H621" s="97"/>
      <c r="I621" s="97"/>
      <c r="J621" s="97"/>
      <c r="W621" s="97"/>
    </row>
    <row r="622" ht="15.75" customHeight="1">
      <c r="D622" s="97"/>
      <c r="F622" s="97"/>
      <c r="G622" s="97"/>
      <c r="H622" s="97"/>
      <c r="I622" s="97"/>
      <c r="J622" s="97"/>
      <c r="W622" s="97"/>
    </row>
    <row r="623" ht="15.75" customHeight="1">
      <c r="D623" s="97"/>
      <c r="F623" s="97"/>
      <c r="G623" s="97"/>
      <c r="H623" s="97"/>
      <c r="I623" s="97"/>
      <c r="J623" s="97"/>
      <c r="W623" s="97"/>
    </row>
    <row r="624" ht="15.75" customHeight="1">
      <c r="D624" s="97"/>
      <c r="F624" s="97"/>
      <c r="G624" s="97"/>
      <c r="H624" s="97"/>
      <c r="I624" s="97"/>
      <c r="J624" s="97"/>
      <c r="W624" s="97"/>
    </row>
    <row r="625" ht="15.75" customHeight="1">
      <c r="D625" s="97"/>
      <c r="F625" s="97"/>
      <c r="G625" s="97"/>
      <c r="H625" s="97"/>
      <c r="I625" s="97"/>
      <c r="J625" s="97"/>
      <c r="W625" s="97"/>
    </row>
    <row r="626" ht="15.75" customHeight="1">
      <c r="D626" s="97"/>
      <c r="F626" s="97"/>
      <c r="G626" s="97"/>
      <c r="H626" s="97"/>
      <c r="I626" s="97"/>
      <c r="J626" s="97"/>
      <c r="W626" s="97"/>
    </row>
    <row r="627" ht="15.75" customHeight="1">
      <c r="D627" s="97"/>
      <c r="F627" s="97"/>
      <c r="G627" s="97"/>
      <c r="H627" s="97"/>
      <c r="I627" s="97"/>
      <c r="J627" s="97"/>
      <c r="W627" s="97"/>
    </row>
    <row r="628" ht="15.75" customHeight="1">
      <c r="D628" s="97"/>
      <c r="F628" s="97"/>
      <c r="G628" s="97"/>
      <c r="H628" s="97"/>
      <c r="I628" s="97"/>
      <c r="J628" s="97"/>
      <c r="W628" s="97"/>
    </row>
    <row r="629" ht="15.75" customHeight="1">
      <c r="D629" s="97"/>
      <c r="F629" s="97"/>
      <c r="G629" s="97"/>
      <c r="H629" s="97"/>
      <c r="I629" s="97"/>
      <c r="J629" s="97"/>
      <c r="W629" s="97"/>
    </row>
    <row r="630" ht="15.75" customHeight="1">
      <c r="D630" s="97"/>
      <c r="F630" s="97"/>
      <c r="G630" s="97"/>
      <c r="H630" s="97"/>
      <c r="I630" s="97"/>
      <c r="J630" s="97"/>
      <c r="W630" s="97"/>
    </row>
    <row r="631" ht="15.75" customHeight="1">
      <c r="D631" s="97"/>
      <c r="F631" s="97"/>
      <c r="G631" s="97"/>
      <c r="H631" s="97"/>
      <c r="I631" s="97"/>
      <c r="J631" s="97"/>
      <c r="W631" s="97"/>
    </row>
    <row r="632" ht="15.75" customHeight="1">
      <c r="D632" s="97"/>
      <c r="F632" s="97"/>
      <c r="G632" s="97"/>
      <c r="H632" s="97"/>
      <c r="I632" s="97"/>
      <c r="J632" s="97"/>
      <c r="W632" s="97"/>
    </row>
    <row r="633" ht="15.75" customHeight="1">
      <c r="D633" s="97"/>
      <c r="F633" s="97"/>
      <c r="G633" s="97"/>
      <c r="H633" s="97"/>
      <c r="I633" s="97"/>
      <c r="J633" s="97"/>
      <c r="W633" s="97"/>
    </row>
    <row r="634" ht="15.75" customHeight="1">
      <c r="D634" s="97"/>
      <c r="F634" s="97"/>
      <c r="G634" s="97"/>
      <c r="H634" s="97"/>
      <c r="I634" s="97"/>
      <c r="J634" s="97"/>
      <c r="W634" s="97"/>
    </row>
    <row r="635" ht="15.75" customHeight="1">
      <c r="D635" s="97"/>
      <c r="F635" s="97"/>
      <c r="G635" s="97"/>
      <c r="H635" s="97"/>
      <c r="I635" s="97"/>
      <c r="J635" s="97"/>
      <c r="W635" s="97"/>
    </row>
    <row r="636" ht="15.75" customHeight="1">
      <c r="D636" s="97"/>
      <c r="F636" s="97"/>
      <c r="G636" s="97"/>
      <c r="H636" s="97"/>
      <c r="I636" s="97"/>
      <c r="J636" s="97"/>
      <c r="W636" s="97"/>
    </row>
    <row r="637" ht="15.75" customHeight="1">
      <c r="D637" s="97"/>
      <c r="F637" s="97"/>
      <c r="G637" s="97"/>
      <c r="H637" s="97"/>
      <c r="I637" s="97"/>
      <c r="J637" s="97"/>
      <c r="W637" s="97"/>
    </row>
    <row r="638" ht="15.75" customHeight="1">
      <c r="D638" s="97"/>
      <c r="F638" s="97"/>
      <c r="G638" s="97"/>
      <c r="H638" s="97"/>
      <c r="I638" s="97"/>
      <c r="J638" s="97"/>
      <c r="W638" s="97"/>
    </row>
    <row r="639" ht="15.75" customHeight="1">
      <c r="D639" s="97"/>
      <c r="F639" s="97"/>
      <c r="G639" s="97"/>
      <c r="H639" s="97"/>
      <c r="I639" s="97"/>
      <c r="J639" s="97"/>
      <c r="W639" s="97"/>
    </row>
    <row r="640" ht="15.75" customHeight="1">
      <c r="D640" s="97"/>
      <c r="F640" s="97"/>
      <c r="G640" s="97"/>
      <c r="H640" s="97"/>
      <c r="I640" s="97"/>
      <c r="J640" s="97"/>
      <c r="W640" s="97"/>
    </row>
    <row r="641" ht="15.75" customHeight="1">
      <c r="D641" s="97"/>
      <c r="F641" s="97"/>
      <c r="G641" s="97"/>
      <c r="H641" s="97"/>
      <c r="I641" s="97"/>
      <c r="J641" s="97"/>
      <c r="W641" s="97"/>
    </row>
    <row r="642" ht="15.75" customHeight="1">
      <c r="D642" s="97"/>
      <c r="F642" s="97"/>
      <c r="G642" s="97"/>
      <c r="H642" s="97"/>
      <c r="I642" s="97"/>
      <c r="J642" s="97"/>
      <c r="W642" s="97"/>
    </row>
    <row r="643" ht="15.75" customHeight="1">
      <c r="D643" s="97"/>
      <c r="F643" s="97"/>
      <c r="G643" s="97"/>
      <c r="H643" s="97"/>
      <c r="I643" s="97"/>
      <c r="J643" s="97"/>
      <c r="W643" s="97"/>
    </row>
    <row r="644" ht="15.75" customHeight="1">
      <c r="D644" s="97"/>
      <c r="F644" s="97"/>
      <c r="G644" s="97"/>
      <c r="H644" s="97"/>
      <c r="I644" s="97"/>
      <c r="J644" s="97"/>
      <c r="W644" s="97"/>
    </row>
    <row r="645" ht="15.75" customHeight="1">
      <c r="D645" s="97"/>
      <c r="F645" s="97"/>
      <c r="G645" s="97"/>
      <c r="H645" s="97"/>
      <c r="I645" s="97"/>
      <c r="J645" s="97"/>
      <c r="W645" s="97"/>
    </row>
    <row r="646" ht="15.75" customHeight="1">
      <c r="D646" s="97"/>
      <c r="F646" s="97"/>
      <c r="G646" s="97"/>
      <c r="H646" s="97"/>
      <c r="I646" s="97"/>
      <c r="J646" s="97"/>
      <c r="W646" s="97"/>
    </row>
    <row r="647" ht="15.75" customHeight="1">
      <c r="D647" s="97"/>
      <c r="F647" s="97"/>
      <c r="G647" s="97"/>
      <c r="H647" s="97"/>
      <c r="I647" s="97"/>
      <c r="J647" s="97"/>
      <c r="W647" s="97"/>
    </row>
    <row r="648" ht="15.75" customHeight="1">
      <c r="D648" s="97"/>
      <c r="F648" s="97"/>
      <c r="G648" s="97"/>
      <c r="H648" s="97"/>
      <c r="I648" s="97"/>
      <c r="J648" s="97"/>
      <c r="W648" s="97"/>
    </row>
    <row r="649" ht="15.75" customHeight="1">
      <c r="D649" s="97"/>
      <c r="F649" s="97"/>
      <c r="G649" s="97"/>
      <c r="H649" s="97"/>
      <c r="I649" s="97"/>
      <c r="J649" s="97"/>
      <c r="W649" s="97"/>
    </row>
    <row r="650" ht="15.75" customHeight="1">
      <c r="D650" s="97"/>
      <c r="F650" s="97"/>
      <c r="G650" s="97"/>
      <c r="H650" s="97"/>
      <c r="I650" s="97"/>
      <c r="J650" s="97"/>
      <c r="W650" s="97"/>
    </row>
    <row r="651" ht="15.75" customHeight="1">
      <c r="D651" s="97"/>
      <c r="F651" s="97"/>
      <c r="G651" s="97"/>
      <c r="H651" s="97"/>
      <c r="I651" s="97"/>
      <c r="J651" s="97"/>
      <c r="W651" s="97"/>
    </row>
    <row r="652" ht="15.75" customHeight="1">
      <c r="D652" s="97"/>
      <c r="F652" s="97"/>
      <c r="G652" s="97"/>
      <c r="H652" s="97"/>
      <c r="I652" s="97"/>
      <c r="J652" s="97"/>
      <c r="W652" s="97"/>
    </row>
    <row r="653" ht="15.75" customHeight="1">
      <c r="D653" s="97"/>
      <c r="F653" s="97"/>
      <c r="G653" s="97"/>
      <c r="H653" s="97"/>
      <c r="I653" s="97"/>
      <c r="J653" s="97"/>
      <c r="W653" s="97"/>
    </row>
    <row r="654" ht="15.75" customHeight="1">
      <c r="D654" s="97"/>
      <c r="F654" s="97"/>
      <c r="G654" s="97"/>
      <c r="H654" s="97"/>
      <c r="I654" s="97"/>
      <c r="J654" s="97"/>
      <c r="W654" s="97"/>
    </row>
    <row r="655" ht="15.75" customHeight="1">
      <c r="D655" s="97"/>
      <c r="F655" s="97"/>
      <c r="G655" s="97"/>
      <c r="H655" s="97"/>
      <c r="I655" s="97"/>
      <c r="J655" s="97"/>
      <c r="W655" s="97"/>
    </row>
    <row r="656" ht="15.75" customHeight="1">
      <c r="D656" s="97"/>
      <c r="F656" s="97"/>
      <c r="G656" s="97"/>
      <c r="H656" s="97"/>
      <c r="I656" s="97"/>
      <c r="J656" s="97"/>
      <c r="W656" s="97"/>
    </row>
    <row r="657" ht="15.75" customHeight="1">
      <c r="D657" s="97"/>
      <c r="F657" s="97"/>
      <c r="G657" s="97"/>
      <c r="H657" s="97"/>
      <c r="I657" s="97"/>
      <c r="J657" s="97"/>
      <c r="W657" s="97"/>
    </row>
    <row r="658" ht="15.75" customHeight="1">
      <c r="D658" s="97"/>
      <c r="F658" s="97"/>
      <c r="G658" s="97"/>
      <c r="H658" s="97"/>
      <c r="I658" s="97"/>
      <c r="J658" s="97"/>
      <c r="W658" s="97"/>
    </row>
    <row r="659" ht="15.75" customHeight="1">
      <c r="D659" s="97"/>
      <c r="F659" s="97"/>
      <c r="G659" s="97"/>
      <c r="H659" s="97"/>
      <c r="I659" s="97"/>
      <c r="J659" s="97"/>
      <c r="W659" s="97"/>
    </row>
    <row r="660" ht="15.75" customHeight="1">
      <c r="D660" s="97"/>
      <c r="F660" s="97"/>
      <c r="G660" s="97"/>
      <c r="H660" s="97"/>
      <c r="I660" s="97"/>
      <c r="J660" s="97"/>
      <c r="W660" s="97"/>
    </row>
    <row r="661" ht="15.75" customHeight="1">
      <c r="D661" s="97"/>
      <c r="F661" s="97"/>
      <c r="G661" s="97"/>
      <c r="H661" s="97"/>
      <c r="I661" s="97"/>
      <c r="J661" s="97"/>
      <c r="W661" s="97"/>
    </row>
    <row r="662" ht="15.75" customHeight="1">
      <c r="D662" s="97"/>
      <c r="F662" s="97"/>
      <c r="G662" s="97"/>
      <c r="H662" s="97"/>
      <c r="I662" s="97"/>
      <c r="J662" s="97"/>
      <c r="W662" s="97"/>
    </row>
    <row r="663" ht="15.75" customHeight="1">
      <c r="D663" s="97"/>
      <c r="F663" s="97"/>
      <c r="G663" s="97"/>
      <c r="H663" s="97"/>
      <c r="I663" s="97"/>
      <c r="J663" s="97"/>
      <c r="W663" s="97"/>
    </row>
    <row r="664" ht="15.75" customHeight="1">
      <c r="D664" s="97"/>
      <c r="F664" s="97"/>
      <c r="G664" s="97"/>
      <c r="H664" s="97"/>
      <c r="I664" s="97"/>
      <c r="J664" s="97"/>
      <c r="W664" s="97"/>
    </row>
    <row r="665" ht="15.75" customHeight="1">
      <c r="D665" s="97"/>
      <c r="F665" s="97"/>
      <c r="G665" s="97"/>
      <c r="H665" s="97"/>
      <c r="I665" s="97"/>
      <c r="J665" s="97"/>
      <c r="W665" s="97"/>
    </row>
    <row r="666" ht="15.75" customHeight="1">
      <c r="D666" s="97"/>
      <c r="F666" s="97"/>
      <c r="G666" s="97"/>
      <c r="H666" s="97"/>
      <c r="I666" s="97"/>
      <c r="J666" s="97"/>
      <c r="W666" s="97"/>
    </row>
    <row r="667" ht="15.75" customHeight="1">
      <c r="D667" s="97"/>
      <c r="F667" s="97"/>
      <c r="G667" s="97"/>
      <c r="H667" s="97"/>
      <c r="I667" s="97"/>
      <c r="J667" s="97"/>
      <c r="W667" s="97"/>
    </row>
    <row r="668" ht="15.75" customHeight="1">
      <c r="D668" s="97"/>
      <c r="F668" s="97"/>
      <c r="G668" s="97"/>
      <c r="H668" s="97"/>
      <c r="I668" s="97"/>
      <c r="J668" s="97"/>
      <c r="W668" s="97"/>
    </row>
    <row r="669" ht="15.75" customHeight="1">
      <c r="D669" s="97"/>
      <c r="F669" s="97"/>
      <c r="G669" s="97"/>
      <c r="H669" s="97"/>
      <c r="I669" s="97"/>
      <c r="J669" s="97"/>
      <c r="W669" s="97"/>
    </row>
    <row r="670" ht="15.75" customHeight="1">
      <c r="D670" s="97"/>
      <c r="F670" s="97"/>
      <c r="G670" s="97"/>
      <c r="H670" s="97"/>
      <c r="I670" s="97"/>
      <c r="J670" s="97"/>
      <c r="W670" s="97"/>
    </row>
    <row r="671" ht="15.75" customHeight="1">
      <c r="D671" s="97"/>
      <c r="F671" s="97"/>
      <c r="G671" s="97"/>
      <c r="H671" s="97"/>
      <c r="I671" s="97"/>
      <c r="J671" s="97"/>
      <c r="W671" s="97"/>
    </row>
    <row r="672" ht="15.75" customHeight="1">
      <c r="D672" s="97"/>
      <c r="F672" s="97"/>
      <c r="G672" s="97"/>
      <c r="H672" s="97"/>
      <c r="I672" s="97"/>
      <c r="J672" s="97"/>
      <c r="W672" s="97"/>
    </row>
    <row r="673" ht="15.75" customHeight="1">
      <c r="D673" s="97"/>
      <c r="F673" s="97"/>
      <c r="G673" s="97"/>
      <c r="H673" s="97"/>
      <c r="I673" s="97"/>
      <c r="J673" s="97"/>
      <c r="W673" s="97"/>
    </row>
    <row r="674" ht="15.75" customHeight="1">
      <c r="D674" s="97"/>
      <c r="F674" s="97"/>
      <c r="G674" s="97"/>
      <c r="H674" s="97"/>
      <c r="I674" s="97"/>
      <c r="J674" s="97"/>
      <c r="W674" s="97"/>
    </row>
    <row r="675" ht="15.75" customHeight="1">
      <c r="D675" s="97"/>
      <c r="F675" s="97"/>
      <c r="G675" s="97"/>
      <c r="H675" s="97"/>
      <c r="I675" s="97"/>
      <c r="J675" s="97"/>
      <c r="W675" s="97"/>
    </row>
    <row r="676" ht="15.75" customHeight="1">
      <c r="D676" s="97"/>
      <c r="F676" s="97"/>
      <c r="G676" s="97"/>
      <c r="H676" s="97"/>
      <c r="I676" s="97"/>
      <c r="J676" s="97"/>
      <c r="W676" s="97"/>
    </row>
    <row r="677" ht="15.75" customHeight="1">
      <c r="D677" s="97"/>
      <c r="F677" s="97"/>
      <c r="G677" s="97"/>
      <c r="H677" s="97"/>
      <c r="I677" s="97"/>
      <c r="J677" s="97"/>
      <c r="W677" s="97"/>
    </row>
    <row r="678" ht="15.75" customHeight="1">
      <c r="D678" s="97"/>
      <c r="F678" s="97"/>
      <c r="G678" s="97"/>
      <c r="H678" s="97"/>
      <c r="I678" s="97"/>
      <c r="J678" s="97"/>
      <c r="W678" s="97"/>
    </row>
    <row r="679" ht="15.75" customHeight="1">
      <c r="D679" s="97"/>
      <c r="F679" s="97"/>
      <c r="G679" s="97"/>
      <c r="H679" s="97"/>
      <c r="I679" s="97"/>
      <c r="J679" s="97"/>
      <c r="W679" s="97"/>
    </row>
    <row r="680" ht="15.75" customHeight="1">
      <c r="D680" s="97"/>
      <c r="F680" s="97"/>
      <c r="G680" s="97"/>
      <c r="H680" s="97"/>
      <c r="I680" s="97"/>
      <c r="J680" s="97"/>
      <c r="W680" s="97"/>
    </row>
    <row r="681" ht="15.75" customHeight="1">
      <c r="D681" s="97"/>
      <c r="F681" s="97"/>
      <c r="G681" s="97"/>
      <c r="H681" s="97"/>
      <c r="I681" s="97"/>
      <c r="J681" s="97"/>
      <c r="W681" s="97"/>
    </row>
    <row r="682" ht="15.75" customHeight="1">
      <c r="D682" s="97"/>
      <c r="F682" s="97"/>
      <c r="G682" s="97"/>
      <c r="H682" s="97"/>
      <c r="I682" s="97"/>
      <c r="J682" s="97"/>
      <c r="W682" s="97"/>
    </row>
    <row r="683" ht="15.75" customHeight="1">
      <c r="D683" s="97"/>
      <c r="F683" s="97"/>
      <c r="G683" s="97"/>
      <c r="H683" s="97"/>
      <c r="I683" s="97"/>
      <c r="J683" s="97"/>
      <c r="W683" s="97"/>
    </row>
    <row r="684" ht="15.75" customHeight="1">
      <c r="D684" s="97"/>
      <c r="F684" s="97"/>
      <c r="G684" s="97"/>
      <c r="H684" s="97"/>
      <c r="I684" s="97"/>
      <c r="J684" s="97"/>
      <c r="W684" s="97"/>
    </row>
    <row r="685" ht="15.75" customHeight="1">
      <c r="D685" s="97"/>
      <c r="F685" s="97"/>
      <c r="G685" s="97"/>
      <c r="H685" s="97"/>
      <c r="I685" s="97"/>
      <c r="J685" s="97"/>
      <c r="W685" s="97"/>
    </row>
    <row r="686" ht="15.75" customHeight="1">
      <c r="D686" s="97"/>
      <c r="F686" s="97"/>
      <c r="G686" s="97"/>
      <c r="H686" s="97"/>
      <c r="I686" s="97"/>
      <c r="J686" s="97"/>
      <c r="W686" s="97"/>
    </row>
    <row r="687" ht="15.75" customHeight="1">
      <c r="D687" s="97"/>
      <c r="F687" s="97"/>
      <c r="G687" s="97"/>
      <c r="H687" s="97"/>
      <c r="I687" s="97"/>
      <c r="J687" s="97"/>
      <c r="W687" s="97"/>
    </row>
    <row r="688" ht="15.75" customHeight="1">
      <c r="D688" s="97"/>
      <c r="F688" s="97"/>
      <c r="G688" s="97"/>
      <c r="H688" s="97"/>
      <c r="I688" s="97"/>
      <c r="J688" s="97"/>
      <c r="W688" s="97"/>
    </row>
    <row r="689" ht="15.75" customHeight="1">
      <c r="D689" s="97"/>
      <c r="F689" s="97"/>
      <c r="G689" s="97"/>
      <c r="H689" s="97"/>
      <c r="I689" s="97"/>
      <c r="J689" s="97"/>
      <c r="W689" s="97"/>
    </row>
    <row r="690" ht="15.75" customHeight="1">
      <c r="D690" s="97"/>
      <c r="F690" s="97"/>
      <c r="G690" s="97"/>
      <c r="H690" s="97"/>
      <c r="I690" s="97"/>
      <c r="J690" s="97"/>
      <c r="W690" s="97"/>
    </row>
    <row r="691" ht="15.75" customHeight="1">
      <c r="D691" s="97"/>
      <c r="F691" s="97"/>
      <c r="G691" s="97"/>
      <c r="H691" s="97"/>
      <c r="I691" s="97"/>
      <c r="J691" s="97"/>
      <c r="W691" s="97"/>
    </row>
    <row r="692" ht="15.75" customHeight="1">
      <c r="D692" s="97"/>
      <c r="F692" s="97"/>
      <c r="G692" s="97"/>
      <c r="H692" s="97"/>
      <c r="I692" s="97"/>
      <c r="J692" s="97"/>
      <c r="W692" s="97"/>
    </row>
    <row r="693" ht="15.75" customHeight="1">
      <c r="D693" s="97"/>
      <c r="F693" s="97"/>
      <c r="G693" s="97"/>
      <c r="H693" s="97"/>
      <c r="I693" s="97"/>
      <c r="J693" s="97"/>
      <c r="W693" s="97"/>
    </row>
    <row r="694" ht="15.75" customHeight="1">
      <c r="D694" s="97"/>
      <c r="F694" s="97"/>
      <c r="G694" s="97"/>
      <c r="H694" s="97"/>
      <c r="I694" s="97"/>
      <c r="J694" s="97"/>
      <c r="W694" s="97"/>
    </row>
    <row r="695" ht="15.75" customHeight="1">
      <c r="D695" s="97"/>
      <c r="F695" s="97"/>
      <c r="G695" s="97"/>
      <c r="H695" s="97"/>
      <c r="I695" s="97"/>
      <c r="J695" s="97"/>
      <c r="W695" s="97"/>
    </row>
    <row r="696" ht="15.75" customHeight="1">
      <c r="D696" s="97"/>
      <c r="F696" s="97"/>
      <c r="G696" s="97"/>
      <c r="H696" s="97"/>
      <c r="I696" s="97"/>
      <c r="J696" s="97"/>
      <c r="W696" s="97"/>
    </row>
    <row r="697" ht="15.75" customHeight="1">
      <c r="D697" s="97"/>
      <c r="F697" s="97"/>
      <c r="G697" s="97"/>
      <c r="H697" s="97"/>
      <c r="I697" s="97"/>
      <c r="J697" s="97"/>
      <c r="W697" s="97"/>
    </row>
    <row r="698" ht="15.75" customHeight="1">
      <c r="D698" s="97"/>
      <c r="F698" s="97"/>
      <c r="G698" s="97"/>
      <c r="H698" s="97"/>
      <c r="I698" s="97"/>
      <c r="J698" s="97"/>
      <c r="W698" s="97"/>
    </row>
    <row r="699" ht="15.75" customHeight="1">
      <c r="D699" s="97"/>
      <c r="F699" s="97"/>
      <c r="G699" s="97"/>
      <c r="H699" s="97"/>
      <c r="I699" s="97"/>
      <c r="J699" s="97"/>
      <c r="W699" s="97"/>
    </row>
    <row r="700" ht="15.75" customHeight="1">
      <c r="D700" s="97"/>
      <c r="F700" s="97"/>
      <c r="G700" s="97"/>
      <c r="H700" s="97"/>
      <c r="I700" s="97"/>
      <c r="J700" s="97"/>
      <c r="W700" s="97"/>
    </row>
    <row r="701" ht="15.75" customHeight="1">
      <c r="D701" s="97"/>
      <c r="F701" s="97"/>
      <c r="G701" s="97"/>
      <c r="H701" s="97"/>
      <c r="I701" s="97"/>
      <c r="J701" s="97"/>
      <c r="W701" s="97"/>
    </row>
    <row r="702" ht="15.75" customHeight="1">
      <c r="D702" s="97"/>
      <c r="F702" s="97"/>
      <c r="G702" s="97"/>
      <c r="H702" s="97"/>
      <c r="I702" s="97"/>
      <c r="J702" s="97"/>
      <c r="W702" s="97"/>
    </row>
    <row r="703" ht="15.75" customHeight="1">
      <c r="D703" s="97"/>
      <c r="F703" s="97"/>
      <c r="G703" s="97"/>
      <c r="H703" s="97"/>
      <c r="I703" s="97"/>
      <c r="J703" s="97"/>
      <c r="W703" s="97"/>
    </row>
    <row r="704" ht="15.75" customHeight="1">
      <c r="D704" s="97"/>
      <c r="F704" s="97"/>
      <c r="G704" s="97"/>
      <c r="H704" s="97"/>
      <c r="I704" s="97"/>
      <c r="J704" s="97"/>
      <c r="W704" s="97"/>
    </row>
    <row r="705" ht="15.75" customHeight="1">
      <c r="D705" s="97"/>
      <c r="F705" s="97"/>
      <c r="G705" s="97"/>
      <c r="H705" s="97"/>
      <c r="I705" s="97"/>
      <c r="J705" s="97"/>
      <c r="W705" s="97"/>
    </row>
    <row r="706" ht="15.75" customHeight="1">
      <c r="D706" s="97"/>
      <c r="F706" s="97"/>
      <c r="G706" s="97"/>
      <c r="H706" s="97"/>
      <c r="I706" s="97"/>
      <c r="J706" s="97"/>
      <c r="W706" s="97"/>
    </row>
    <row r="707" ht="15.75" customHeight="1">
      <c r="D707" s="97"/>
      <c r="F707" s="97"/>
      <c r="G707" s="97"/>
      <c r="H707" s="97"/>
      <c r="I707" s="97"/>
      <c r="J707" s="97"/>
      <c r="W707" s="97"/>
    </row>
    <row r="708" ht="15.75" customHeight="1">
      <c r="D708" s="97"/>
      <c r="F708" s="97"/>
      <c r="G708" s="97"/>
      <c r="H708" s="97"/>
      <c r="I708" s="97"/>
      <c r="J708" s="97"/>
      <c r="W708" s="97"/>
    </row>
    <row r="709" ht="15.75" customHeight="1">
      <c r="D709" s="97"/>
      <c r="F709" s="97"/>
      <c r="G709" s="97"/>
      <c r="H709" s="97"/>
      <c r="I709" s="97"/>
      <c r="J709" s="97"/>
      <c r="W709" s="97"/>
    </row>
    <row r="710" ht="15.75" customHeight="1">
      <c r="D710" s="97"/>
      <c r="F710" s="97"/>
      <c r="G710" s="97"/>
      <c r="H710" s="97"/>
      <c r="I710" s="97"/>
      <c r="J710" s="97"/>
      <c r="W710" s="97"/>
    </row>
    <row r="711" ht="15.75" customHeight="1">
      <c r="D711" s="97"/>
      <c r="F711" s="97"/>
      <c r="G711" s="97"/>
      <c r="H711" s="97"/>
      <c r="I711" s="97"/>
      <c r="J711" s="97"/>
      <c r="W711" s="97"/>
    </row>
    <row r="712" ht="15.75" customHeight="1">
      <c r="D712" s="97"/>
      <c r="F712" s="97"/>
      <c r="G712" s="97"/>
      <c r="H712" s="97"/>
      <c r="I712" s="97"/>
      <c r="J712" s="97"/>
      <c r="W712" s="97"/>
    </row>
    <row r="713" ht="15.75" customHeight="1">
      <c r="D713" s="97"/>
      <c r="F713" s="97"/>
      <c r="G713" s="97"/>
      <c r="H713" s="97"/>
      <c r="I713" s="97"/>
      <c r="J713" s="97"/>
      <c r="W713" s="97"/>
    </row>
    <row r="714" ht="15.75" customHeight="1">
      <c r="D714" s="97"/>
      <c r="F714" s="97"/>
      <c r="G714" s="97"/>
      <c r="H714" s="97"/>
      <c r="I714" s="97"/>
      <c r="J714" s="97"/>
      <c r="W714" s="97"/>
    </row>
    <row r="715" ht="15.75" customHeight="1">
      <c r="D715" s="97"/>
      <c r="F715" s="97"/>
      <c r="G715" s="97"/>
      <c r="H715" s="97"/>
      <c r="I715" s="97"/>
      <c r="J715" s="97"/>
      <c r="W715" s="97"/>
    </row>
    <row r="716" ht="15.75" customHeight="1">
      <c r="D716" s="97"/>
      <c r="F716" s="97"/>
      <c r="G716" s="97"/>
      <c r="H716" s="97"/>
      <c r="I716" s="97"/>
      <c r="J716" s="97"/>
      <c r="W716" s="97"/>
    </row>
    <row r="717" ht="15.75" customHeight="1">
      <c r="D717" s="97"/>
      <c r="F717" s="97"/>
      <c r="G717" s="97"/>
      <c r="H717" s="97"/>
      <c r="I717" s="97"/>
      <c r="J717" s="97"/>
      <c r="W717" s="97"/>
    </row>
    <row r="718" ht="15.75" customHeight="1">
      <c r="D718" s="97"/>
      <c r="F718" s="97"/>
      <c r="G718" s="97"/>
      <c r="H718" s="97"/>
      <c r="I718" s="97"/>
      <c r="J718" s="97"/>
      <c r="W718" s="97"/>
    </row>
    <row r="719" ht="15.75" customHeight="1">
      <c r="D719" s="97"/>
      <c r="F719" s="97"/>
      <c r="G719" s="97"/>
      <c r="H719" s="97"/>
      <c r="I719" s="97"/>
      <c r="J719" s="97"/>
      <c r="W719" s="97"/>
    </row>
    <row r="720" ht="15.75" customHeight="1">
      <c r="D720" s="97"/>
      <c r="F720" s="97"/>
      <c r="G720" s="97"/>
      <c r="H720" s="97"/>
      <c r="I720" s="97"/>
      <c r="J720" s="97"/>
      <c r="W720" s="97"/>
    </row>
    <row r="721" ht="15.75" customHeight="1">
      <c r="D721" s="97"/>
      <c r="F721" s="97"/>
      <c r="G721" s="97"/>
      <c r="H721" s="97"/>
      <c r="I721" s="97"/>
      <c r="J721" s="97"/>
      <c r="W721" s="97"/>
    </row>
    <row r="722" ht="15.75" customHeight="1">
      <c r="D722" s="97"/>
      <c r="F722" s="97"/>
      <c r="G722" s="97"/>
      <c r="H722" s="97"/>
      <c r="I722" s="97"/>
      <c r="J722" s="97"/>
      <c r="W722" s="97"/>
    </row>
    <row r="723" ht="15.75" customHeight="1">
      <c r="D723" s="97"/>
      <c r="F723" s="97"/>
      <c r="G723" s="97"/>
      <c r="H723" s="97"/>
      <c r="I723" s="97"/>
      <c r="J723" s="97"/>
      <c r="W723" s="97"/>
    </row>
    <row r="724" ht="15.75" customHeight="1">
      <c r="D724" s="97"/>
      <c r="F724" s="97"/>
      <c r="G724" s="97"/>
      <c r="H724" s="97"/>
      <c r="I724" s="97"/>
      <c r="J724" s="97"/>
      <c r="W724" s="97"/>
    </row>
    <row r="725" ht="15.75" customHeight="1">
      <c r="D725" s="97"/>
      <c r="F725" s="97"/>
      <c r="G725" s="97"/>
      <c r="H725" s="97"/>
      <c r="I725" s="97"/>
      <c r="J725" s="97"/>
      <c r="W725" s="97"/>
    </row>
    <row r="726" ht="15.75" customHeight="1">
      <c r="D726" s="97"/>
      <c r="F726" s="97"/>
      <c r="G726" s="97"/>
      <c r="H726" s="97"/>
      <c r="I726" s="97"/>
      <c r="J726" s="97"/>
      <c r="W726" s="97"/>
    </row>
    <row r="727" ht="15.75" customHeight="1">
      <c r="D727" s="97"/>
      <c r="F727" s="97"/>
      <c r="G727" s="97"/>
      <c r="H727" s="97"/>
      <c r="I727" s="97"/>
      <c r="J727" s="97"/>
      <c r="W727" s="97"/>
    </row>
    <row r="728" ht="15.75" customHeight="1">
      <c r="D728" s="97"/>
      <c r="F728" s="97"/>
      <c r="G728" s="97"/>
      <c r="H728" s="97"/>
      <c r="I728" s="97"/>
      <c r="J728" s="97"/>
      <c r="W728" s="97"/>
    </row>
    <row r="729" ht="15.75" customHeight="1">
      <c r="D729" s="97"/>
      <c r="F729" s="97"/>
      <c r="G729" s="97"/>
      <c r="H729" s="97"/>
      <c r="I729" s="97"/>
      <c r="J729" s="97"/>
      <c r="W729" s="97"/>
    </row>
    <row r="730" ht="15.75" customHeight="1">
      <c r="D730" s="97"/>
      <c r="F730" s="97"/>
      <c r="G730" s="97"/>
      <c r="H730" s="97"/>
      <c r="I730" s="97"/>
      <c r="J730" s="97"/>
      <c r="W730" s="97"/>
    </row>
    <row r="731" ht="15.75" customHeight="1">
      <c r="D731" s="97"/>
      <c r="F731" s="97"/>
      <c r="G731" s="97"/>
      <c r="H731" s="97"/>
      <c r="I731" s="97"/>
      <c r="J731" s="97"/>
      <c r="W731" s="97"/>
    </row>
    <row r="732" ht="15.75" customHeight="1">
      <c r="D732" s="97"/>
      <c r="F732" s="97"/>
      <c r="G732" s="97"/>
      <c r="H732" s="97"/>
      <c r="I732" s="97"/>
      <c r="J732" s="97"/>
      <c r="W732" s="97"/>
    </row>
    <row r="733" ht="15.75" customHeight="1">
      <c r="D733" s="97"/>
      <c r="F733" s="97"/>
      <c r="G733" s="97"/>
      <c r="H733" s="97"/>
      <c r="I733" s="97"/>
      <c r="J733" s="97"/>
      <c r="W733" s="97"/>
    </row>
    <row r="734" ht="15.75" customHeight="1">
      <c r="D734" s="97"/>
      <c r="F734" s="97"/>
      <c r="G734" s="97"/>
      <c r="H734" s="97"/>
      <c r="I734" s="97"/>
      <c r="J734" s="97"/>
      <c r="W734" s="97"/>
    </row>
    <row r="735" ht="15.75" customHeight="1">
      <c r="D735" s="97"/>
      <c r="F735" s="97"/>
      <c r="G735" s="97"/>
      <c r="H735" s="97"/>
      <c r="I735" s="97"/>
      <c r="J735" s="97"/>
      <c r="W735" s="97"/>
    </row>
    <row r="736" ht="15.75" customHeight="1">
      <c r="D736" s="97"/>
      <c r="F736" s="97"/>
      <c r="G736" s="97"/>
      <c r="H736" s="97"/>
      <c r="I736" s="97"/>
      <c r="J736" s="97"/>
      <c r="W736" s="97"/>
    </row>
    <row r="737" ht="15.75" customHeight="1">
      <c r="D737" s="97"/>
      <c r="F737" s="97"/>
      <c r="G737" s="97"/>
      <c r="H737" s="97"/>
      <c r="I737" s="97"/>
      <c r="J737" s="97"/>
      <c r="W737" s="97"/>
    </row>
    <row r="738" ht="15.75" customHeight="1">
      <c r="D738" s="97"/>
      <c r="F738" s="97"/>
      <c r="G738" s="97"/>
      <c r="H738" s="97"/>
      <c r="I738" s="97"/>
      <c r="J738" s="97"/>
      <c r="W738" s="97"/>
    </row>
    <row r="739" ht="15.75" customHeight="1">
      <c r="D739" s="97"/>
      <c r="F739" s="97"/>
      <c r="G739" s="97"/>
      <c r="H739" s="97"/>
      <c r="I739" s="97"/>
      <c r="J739" s="97"/>
      <c r="W739" s="97"/>
    </row>
    <row r="740" ht="15.75" customHeight="1">
      <c r="D740" s="97"/>
      <c r="F740" s="97"/>
      <c r="G740" s="97"/>
      <c r="H740" s="97"/>
      <c r="I740" s="97"/>
      <c r="J740" s="97"/>
      <c r="W740" s="97"/>
    </row>
    <row r="741" ht="15.75" customHeight="1">
      <c r="D741" s="97"/>
      <c r="F741" s="97"/>
      <c r="G741" s="97"/>
      <c r="H741" s="97"/>
      <c r="I741" s="97"/>
      <c r="J741" s="97"/>
      <c r="W741" s="97"/>
    </row>
    <row r="742" ht="15.75" customHeight="1">
      <c r="D742" s="97"/>
      <c r="F742" s="97"/>
      <c r="G742" s="97"/>
      <c r="H742" s="97"/>
      <c r="I742" s="97"/>
      <c r="J742" s="97"/>
      <c r="W742" s="97"/>
    </row>
    <row r="743" ht="15.75" customHeight="1">
      <c r="D743" s="97"/>
      <c r="F743" s="97"/>
      <c r="G743" s="97"/>
      <c r="H743" s="97"/>
      <c r="I743" s="97"/>
      <c r="J743" s="97"/>
      <c r="W743" s="97"/>
    </row>
    <row r="744" ht="15.75" customHeight="1">
      <c r="D744" s="97"/>
      <c r="F744" s="97"/>
      <c r="G744" s="97"/>
      <c r="H744" s="97"/>
      <c r="I744" s="97"/>
      <c r="J744" s="97"/>
      <c r="W744" s="97"/>
    </row>
    <row r="745" ht="15.75" customHeight="1">
      <c r="D745" s="97"/>
      <c r="F745" s="97"/>
      <c r="G745" s="97"/>
      <c r="H745" s="97"/>
      <c r="I745" s="97"/>
      <c r="J745" s="97"/>
      <c r="W745" s="97"/>
    </row>
    <row r="746" ht="15.75" customHeight="1">
      <c r="D746" s="97"/>
      <c r="F746" s="97"/>
      <c r="G746" s="97"/>
      <c r="H746" s="97"/>
      <c r="I746" s="97"/>
      <c r="J746" s="97"/>
      <c r="W746" s="97"/>
    </row>
    <row r="747" ht="15.75" customHeight="1">
      <c r="D747" s="97"/>
      <c r="F747" s="97"/>
      <c r="G747" s="97"/>
      <c r="H747" s="97"/>
      <c r="I747" s="97"/>
      <c r="J747" s="97"/>
      <c r="W747" s="97"/>
    </row>
    <row r="748" ht="15.75" customHeight="1">
      <c r="D748" s="97"/>
      <c r="F748" s="97"/>
      <c r="G748" s="97"/>
      <c r="H748" s="97"/>
      <c r="I748" s="97"/>
      <c r="J748" s="97"/>
      <c r="W748" s="97"/>
    </row>
    <row r="749" ht="15.75" customHeight="1">
      <c r="D749" s="97"/>
      <c r="F749" s="97"/>
      <c r="G749" s="97"/>
      <c r="H749" s="97"/>
      <c r="I749" s="97"/>
      <c r="J749" s="97"/>
      <c r="W749" s="97"/>
    </row>
    <row r="750" ht="15.75" customHeight="1">
      <c r="D750" s="97"/>
      <c r="F750" s="97"/>
      <c r="G750" s="97"/>
      <c r="H750" s="97"/>
      <c r="I750" s="97"/>
      <c r="J750" s="97"/>
      <c r="W750" s="97"/>
    </row>
    <row r="751" ht="15.75" customHeight="1">
      <c r="D751" s="97"/>
      <c r="F751" s="97"/>
      <c r="G751" s="97"/>
      <c r="H751" s="97"/>
      <c r="I751" s="97"/>
      <c r="J751" s="97"/>
      <c r="W751" s="97"/>
    </row>
    <row r="752" ht="15.75" customHeight="1">
      <c r="D752" s="97"/>
      <c r="F752" s="97"/>
      <c r="G752" s="97"/>
      <c r="H752" s="97"/>
      <c r="I752" s="97"/>
      <c r="J752" s="97"/>
      <c r="W752" s="97"/>
    </row>
    <row r="753" ht="15.75" customHeight="1">
      <c r="D753" s="97"/>
      <c r="F753" s="97"/>
      <c r="G753" s="97"/>
      <c r="H753" s="97"/>
      <c r="I753" s="97"/>
      <c r="J753" s="97"/>
      <c r="W753" s="97"/>
    </row>
    <row r="754" ht="15.75" customHeight="1">
      <c r="D754" s="97"/>
      <c r="F754" s="97"/>
      <c r="G754" s="97"/>
      <c r="H754" s="97"/>
      <c r="I754" s="97"/>
      <c r="J754" s="97"/>
      <c r="W754" s="97"/>
    </row>
    <row r="755" ht="15.75" customHeight="1">
      <c r="D755" s="97"/>
      <c r="F755" s="97"/>
      <c r="G755" s="97"/>
      <c r="H755" s="97"/>
      <c r="I755" s="97"/>
      <c r="J755" s="97"/>
      <c r="W755" s="97"/>
    </row>
    <row r="756" ht="15.75" customHeight="1">
      <c r="D756" s="97"/>
      <c r="F756" s="97"/>
      <c r="G756" s="97"/>
      <c r="H756" s="97"/>
      <c r="I756" s="97"/>
      <c r="J756" s="97"/>
      <c r="W756" s="97"/>
    </row>
    <row r="757" ht="15.75" customHeight="1">
      <c r="D757" s="97"/>
      <c r="F757" s="97"/>
      <c r="G757" s="97"/>
      <c r="H757" s="97"/>
      <c r="I757" s="97"/>
      <c r="J757" s="97"/>
      <c r="W757" s="97"/>
    </row>
    <row r="758" ht="15.75" customHeight="1">
      <c r="D758" s="97"/>
      <c r="F758" s="97"/>
      <c r="G758" s="97"/>
      <c r="H758" s="97"/>
      <c r="I758" s="97"/>
      <c r="J758" s="97"/>
      <c r="W758" s="97"/>
    </row>
    <row r="759" ht="15.75" customHeight="1">
      <c r="D759" s="97"/>
      <c r="F759" s="97"/>
      <c r="G759" s="97"/>
      <c r="H759" s="97"/>
      <c r="I759" s="97"/>
      <c r="J759" s="97"/>
      <c r="W759" s="97"/>
    </row>
    <row r="760" ht="15.75" customHeight="1">
      <c r="D760" s="97"/>
      <c r="F760" s="97"/>
      <c r="G760" s="97"/>
      <c r="H760" s="97"/>
      <c r="I760" s="97"/>
      <c r="J760" s="97"/>
      <c r="W760" s="97"/>
    </row>
    <row r="761" ht="15.75" customHeight="1">
      <c r="D761" s="97"/>
      <c r="F761" s="97"/>
      <c r="G761" s="97"/>
      <c r="H761" s="97"/>
      <c r="I761" s="97"/>
      <c r="J761" s="97"/>
      <c r="W761" s="97"/>
    </row>
    <row r="762" ht="15.75" customHeight="1">
      <c r="D762" s="97"/>
      <c r="F762" s="97"/>
      <c r="G762" s="97"/>
      <c r="H762" s="97"/>
      <c r="I762" s="97"/>
      <c r="J762" s="97"/>
      <c r="W762" s="97"/>
    </row>
    <row r="763" ht="15.75" customHeight="1">
      <c r="D763" s="97"/>
      <c r="F763" s="97"/>
      <c r="G763" s="97"/>
      <c r="H763" s="97"/>
      <c r="I763" s="97"/>
      <c r="J763" s="97"/>
      <c r="W763" s="97"/>
    </row>
    <row r="764" ht="15.75" customHeight="1">
      <c r="D764" s="97"/>
      <c r="F764" s="97"/>
      <c r="G764" s="97"/>
      <c r="H764" s="97"/>
      <c r="I764" s="97"/>
      <c r="J764" s="97"/>
      <c r="W764" s="97"/>
    </row>
    <row r="765" ht="15.75" customHeight="1">
      <c r="D765" s="97"/>
      <c r="F765" s="97"/>
      <c r="G765" s="97"/>
      <c r="H765" s="97"/>
      <c r="I765" s="97"/>
      <c r="J765" s="97"/>
      <c r="W765" s="97"/>
    </row>
    <row r="766" ht="15.75" customHeight="1">
      <c r="D766" s="97"/>
      <c r="F766" s="97"/>
      <c r="G766" s="97"/>
      <c r="H766" s="97"/>
      <c r="I766" s="97"/>
      <c r="J766" s="97"/>
      <c r="W766" s="97"/>
    </row>
    <row r="767" ht="15.75" customHeight="1">
      <c r="D767" s="97"/>
      <c r="F767" s="97"/>
      <c r="G767" s="97"/>
      <c r="H767" s="97"/>
      <c r="I767" s="97"/>
      <c r="J767" s="97"/>
      <c r="W767" s="97"/>
    </row>
    <row r="768" ht="15.75" customHeight="1">
      <c r="D768" s="97"/>
      <c r="F768" s="97"/>
      <c r="G768" s="97"/>
      <c r="H768" s="97"/>
      <c r="I768" s="97"/>
      <c r="J768" s="97"/>
      <c r="W768" s="97"/>
    </row>
    <row r="769" ht="15.75" customHeight="1">
      <c r="D769" s="97"/>
      <c r="F769" s="97"/>
      <c r="G769" s="97"/>
      <c r="H769" s="97"/>
      <c r="I769" s="97"/>
      <c r="J769" s="97"/>
      <c r="W769" s="97"/>
    </row>
    <row r="770" ht="15.75" customHeight="1">
      <c r="D770" s="97"/>
      <c r="F770" s="97"/>
      <c r="G770" s="97"/>
      <c r="H770" s="97"/>
      <c r="I770" s="97"/>
      <c r="J770" s="97"/>
      <c r="W770" s="97"/>
    </row>
    <row r="771" ht="15.75" customHeight="1">
      <c r="D771" s="97"/>
      <c r="F771" s="97"/>
      <c r="G771" s="97"/>
      <c r="H771" s="97"/>
      <c r="I771" s="97"/>
      <c r="J771" s="97"/>
      <c r="W771" s="97"/>
    </row>
    <row r="772" ht="15.75" customHeight="1">
      <c r="D772" s="97"/>
      <c r="F772" s="97"/>
      <c r="G772" s="97"/>
      <c r="H772" s="97"/>
      <c r="I772" s="97"/>
      <c r="J772" s="97"/>
      <c r="W772" s="97"/>
    </row>
    <row r="773" ht="15.75" customHeight="1">
      <c r="D773" s="97"/>
      <c r="F773" s="97"/>
      <c r="G773" s="97"/>
      <c r="H773" s="97"/>
      <c r="I773" s="97"/>
      <c r="J773" s="97"/>
      <c r="W773" s="97"/>
    </row>
    <row r="774" ht="15.75" customHeight="1">
      <c r="D774" s="97"/>
      <c r="F774" s="97"/>
      <c r="G774" s="97"/>
      <c r="H774" s="97"/>
      <c r="I774" s="97"/>
      <c r="J774" s="97"/>
      <c r="W774" s="97"/>
    </row>
    <row r="775" ht="15.75" customHeight="1">
      <c r="D775" s="97"/>
      <c r="F775" s="97"/>
      <c r="G775" s="97"/>
      <c r="H775" s="97"/>
      <c r="I775" s="97"/>
      <c r="J775" s="97"/>
      <c r="W775" s="97"/>
    </row>
    <row r="776" ht="15.75" customHeight="1">
      <c r="D776" s="97"/>
      <c r="F776" s="97"/>
      <c r="G776" s="97"/>
      <c r="H776" s="97"/>
      <c r="I776" s="97"/>
      <c r="J776" s="97"/>
      <c r="W776" s="97"/>
    </row>
    <row r="777" ht="15.75" customHeight="1">
      <c r="D777" s="97"/>
      <c r="F777" s="97"/>
      <c r="G777" s="97"/>
      <c r="H777" s="97"/>
      <c r="I777" s="97"/>
      <c r="J777" s="97"/>
      <c r="W777" s="97"/>
    </row>
    <row r="778" ht="15.75" customHeight="1">
      <c r="D778" s="97"/>
      <c r="F778" s="97"/>
      <c r="G778" s="97"/>
      <c r="H778" s="97"/>
      <c r="I778" s="97"/>
      <c r="J778" s="97"/>
      <c r="W778" s="97"/>
    </row>
    <row r="779" ht="15.75" customHeight="1">
      <c r="D779" s="97"/>
      <c r="F779" s="97"/>
      <c r="G779" s="97"/>
      <c r="H779" s="97"/>
      <c r="I779" s="97"/>
      <c r="J779" s="97"/>
      <c r="W779" s="97"/>
    </row>
    <row r="780" ht="15.75" customHeight="1">
      <c r="D780" s="97"/>
      <c r="F780" s="97"/>
      <c r="G780" s="97"/>
      <c r="H780" s="97"/>
      <c r="I780" s="97"/>
      <c r="J780" s="97"/>
      <c r="W780" s="97"/>
    </row>
    <row r="781" ht="15.75" customHeight="1">
      <c r="D781" s="97"/>
      <c r="F781" s="97"/>
      <c r="G781" s="97"/>
      <c r="H781" s="97"/>
      <c r="I781" s="97"/>
      <c r="J781" s="97"/>
      <c r="W781" s="97"/>
    </row>
    <row r="782" ht="15.75" customHeight="1">
      <c r="D782" s="97"/>
      <c r="F782" s="97"/>
      <c r="G782" s="97"/>
      <c r="H782" s="97"/>
      <c r="I782" s="97"/>
      <c r="J782" s="97"/>
      <c r="W782" s="97"/>
    </row>
    <row r="783" ht="15.75" customHeight="1">
      <c r="D783" s="97"/>
      <c r="F783" s="97"/>
      <c r="G783" s="97"/>
      <c r="H783" s="97"/>
      <c r="I783" s="97"/>
      <c r="J783" s="97"/>
      <c r="W783" s="97"/>
    </row>
    <row r="784" ht="15.75" customHeight="1">
      <c r="D784" s="97"/>
      <c r="F784" s="97"/>
      <c r="G784" s="97"/>
      <c r="H784" s="97"/>
      <c r="I784" s="97"/>
      <c r="J784" s="97"/>
      <c r="W784" s="97"/>
    </row>
    <row r="785" ht="15.75" customHeight="1">
      <c r="D785" s="97"/>
      <c r="F785" s="97"/>
      <c r="G785" s="97"/>
      <c r="H785" s="97"/>
      <c r="I785" s="97"/>
      <c r="J785" s="97"/>
      <c r="W785" s="97"/>
    </row>
    <row r="786" ht="15.75" customHeight="1">
      <c r="D786" s="97"/>
      <c r="F786" s="97"/>
      <c r="G786" s="97"/>
      <c r="H786" s="97"/>
      <c r="I786" s="97"/>
      <c r="J786" s="97"/>
      <c r="W786" s="97"/>
    </row>
    <row r="787" ht="15.75" customHeight="1">
      <c r="D787" s="97"/>
      <c r="F787" s="97"/>
      <c r="G787" s="97"/>
      <c r="H787" s="97"/>
      <c r="I787" s="97"/>
      <c r="J787" s="97"/>
      <c r="W787" s="97"/>
    </row>
    <row r="788" ht="15.75" customHeight="1">
      <c r="D788" s="97"/>
      <c r="F788" s="97"/>
      <c r="G788" s="97"/>
      <c r="H788" s="97"/>
      <c r="I788" s="97"/>
      <c r="J788" s="97"/>
      <c r="W788" s="97"/>
    </row>
    <row r="789" ht="15.75" customHeight="1">
      <c r="D789" s="97"/>
      <c r="F789" s="97"/>
      <c r="G789" s="97"/>
      <c r="H789" s="97"/>
      <c r="I789" s="97"/>
      <c r="J789" s="97"/>
      <c r="W789" s="97"/>
    </row>
    <row r="790" ht="15.75" customHeight="1">
      <c r="D790" s="97"/>
      <c r="F790" s="97"/>
      <c r="G790" s="97"/>
      <c r="H790" s="97"/>
      <c r="I790" s="97"/>
      <c r="J790" s="97"/>
      <c r="W790" s="97"/>
    </row>
    <row r="791" ht="15.75" customHeight="1">
      <c r="D791" s="97"/>
      <c r="F791" s="97"/>
      <c r="G791" s="97"/>
      <c r="H791" s="97"/>
      <c r="I791" s="97"/>
      <c r="J791" s="97"/>
      <c r="W791" s="97"/>
    </row>
    <row r="792" ht="15.75" customHeight="1">
      <c r="D792" s="97"/>
      <c r="F792" s="97"/>
      <c r="G792" s="97"/>
      <c r="H792" s="97"/>
      <c r="I792" s="97"/>
      <c r="J792" s="97"/>
      <c r="W792" s="97"/>
    </row>
    <row r="793" ht="15.75" customHeight="1">
      <c r="D793" s="97"/>
      <c r="F793" s="97"/>
      <c r="G793" s="97"/>
      <c r="H793" s="97"/>
      <c r="I793" s="97"/>
      <c r="J793" s="97"/>
      <c r="W793" s="97"/>
    </row>
    <row r="794" ht="15.75" customHeight="1">
      <c r="D794" s="97"/>
      <c r="F794" s="97"/>
      <c r="G794" s="97"/>
      <c r="H794" s="97"/>
      <c r="I794" s="97"/>
      <c r="J794" s="97"/>
      <c r="W794" s="97"/>
    </row>
    <row r="795" ht="15.75" customHeight="1">
      <c r="D795" s="97"/>
      <c r="F795" s="97"/>
      <c r="G795" s="97"/>
      <c r="H795" s="97"/>
      <c r="I795" s="97"/>
      <c r="J795" s="97"/>
      <c r="W795" s="97"/>
    </row>
    <row r="796" ht="15.75" customHeight="1">
      <c r="D796" s="97"/>
      <c r="F796" s="97"/>
      <c r="G796" s="97"/>
      <c r="H796" s="97"/>
      <c r="I796" s="97"/>
      <c r="J796" s="97"/>
      <c r="W796" s="97"/>
    </row>
    <row r="797" ht="15.75" customHeight="1">
      <c r="D797" s="97"/>
      <c r="F797" s="97"/>
      <c r="G797" s="97"/>
      <c r="H797" s="97"/>
      <c r="I797" s="97"/>
      <c r="J797" s="97"/>
      <c r="W797" s="97"/>
    </row>
    <row r="798" ht="15.75" customHeight="1">
      <c r="D798" s="97"/>
      <c r="F798" s="97"/>
      <c r="G798" s="97"/>
      <c r="H798" s="97"/>
      <c r="I798" s="97"/>
      <c r="J798" s="97"/>
      <c r="W798" s="97"/>
    </row>
    <row r="799" ht="15.75" customHeight="1">
      <c r="D799" s="97"/>
      <c r="F799" s="97"/>
      <c r="G799" s="97"/>
      <c r="H799" s="97"/>
      <c r="I799" s="97"/>
      <c r="J799" s="97"/>
      <c r="W799" s="97"/>
    </row>
    <row r="800" ht="15.75" customHeight="1">
      <c r="D800" s="97"/>
      <c r="F800" s="97"/>
      <c r="G800" s="97"/>
      <c r="H800" s="97"/>
      <c r="I800" s="97"/>
      <c r="J800" s="97"/>
      <c r="W800" s="97"/>
    </row>
    <row r="801" ht="15.75" customHeight="1">
      <c r="D801" s="97"/>
      <c r="F801" s="97"/>
      <c r="G801" s="97"/>
      <c r="H801" s="97"/>
      <c r="I801" s="97"/>
      <c r="J801" s="97"/>
      <c r="W801" s="97"/>
    </row>
    <row r="802" ht="15.75" customHeight="1">
      <c r="D802" s="97"/>
      <c r="F802" s="97"/>
      <c r="G802" s="97"/>
      <c r="H802" s="97"/>
      <c r="I802" s="97"/>
      <c r="J802" s="97"/>
      <c r="W802" s="97"/>
    </row>
    <row r="803" ht="15.75" customHeight="1">
      <c r="D803" s="97"/>
      <c r="F803" s="97"/>
      <c r="G803" s="97"/>
      <c r="H803" s="97"/>
      <c r="I803" s="97"/>
      <c r="J803" s="97"/>
      <c r="W803" s="97"/>
    </row>
    <row r="804" ht="15.75" customHeight="1">
      <c r="D804" s="97"/>
      <c r="F804" s="97"/>
      <c r="G804" s="97"/>
      <c r="H804" s="97"/>
      <c r="I804" s="97"/>
      <c r="J804" s="97"/>
      <c r="W804" s="97"/>
    </row>
    <row r="805" ht="15.75" customHeight="1">
      <c r="D805" s="97"/>
      <c r="F805" s="97"/>
      <c r="G805" s="97"/>
      <c r="H805" s="97"/>
      <c r="I805" s="97"/>
      <c r="J805" s="97"/>
      <c r="W805" s="97"/>
    </row>
    <row r="806" ht="15.75" customHeight="1">
      <c r="D806" s="97"/>
      <c r="F806" s="97"/>
      <c r="G806" s="97"/>
      <c r="H806" s="97"/>
      <c r="I806" s="97"/>
      <c r="J806" s="97"/>
      <c r="W806" s="97"/>
    </row>
    <row r="807" ht="15.75" customHeight="1">
      <c r="D807" s="97"/>
      <c r="F807" s="97"/>
      <c r="G807" s="97"/>
      <c r="H807" s="97"/>
      <c r="I807" s="97"/>
      <c r="J807" s="97"/>
      <c r="W807" s="97"/>
    </row>
    <row r="808" ht="15.75" customHeight="1">
      <c r="D808" s="97"/>
      <c r="F808" s="97"/>
      <c r="G808" s="97"/>
      <c r="H808" s="97"/>
      <c r="I808" s="97"/>
      <c r="J808" s="97"/>
      <c r="W808" s="97"/>
    </row>
    <row r="809" ht="15.75" customHeight="1">
      <c r="D809" s="97"/>
      <c r="F809" s="97"/>
      <c r="G809" s="97"/>
      <c r="H809" s="97"/>
      <c r="I809" s="97"/>
      <c r="J809" s="97"/>
      <c r="W809" s="97"/>
    </row>
    <row r="810" ht="15.75" customHeight="1">
      <c r="D810" s="97"/>
      <c r="F810" s="97"/>
      <c r="G810" s="97"/>
      <c r="H810" s="97"/>
      <c r="I810" s="97"/>
      <c r="J810" s="97"/>
      <c r="W810" s="97"/>
    </row>
    <row r="811" ht="15.75" customHeight="1">
      <c r="D811" s="97"/>
      <c r="F811" s="97"/>
      <c r="G811" s="97"/>
      <c r="H811" s="97"/>
      <c r="I811" s="97"/>
      <c r="J811" s="97"/>
      <c r="W811" s="97"/>
    </row>
    <row r="812" ht="15.75" customHeight="1">
      <c r="D812" s="97"/>
      <c r="F812" s="97"/>
      <c r="G812" s="97"/>
      <c r="H812" s="97"/>
      <c r="I812" s="97"/>
      <c r="J812" s="97"/>
      <c r="W812" s="97"/>
    </row>
    <row r="813" ht="15.75" customHeight="1">
      <c r="D813" s="97"/>
      <c r="F813" s="97"/>
      <c r="G813" s="97"/>
      <c r="H813" s="97"/>
      <c r="I813" s="97"/>
      <c r="J813" s="97"/>
      <c r="W813" s="97"/>
    </row>
    <row r="814" ht="15.75" customHeight="1">
      <c r="D814" s="97"/>
      <c r="F814" s="97"/>
      <c r="G814" s="97"/>
      <c r="H814" s="97"/>
      <c r="I814" s="97"/>
      <c r="J814" s="97"/>
      <c r="W814" s="97"/>
    </row>
    <row r="815" ht="15.75" customHeight="1">
      <c r="D815" s="97"/>
      <c r="F815" s="97"/>
      <c r="G815" s="97"/>
      <c r="H815" s="97"/>
      <c r="I815" s="97"/>
      <c r="J815" s="97"/>
      <c r="W815" s="97"/>
    </row>
    <row r="816" ht="15.75" customHeight="1">
      <c r="D816" s="97"/>
      <c r="F816" s="97"/>
      <c r="G816" s="97"/>
      <c r="H816" s="97"/>
      <c r="I816" s="97"/>
      <c r="J816" s="97"/>
      <c r="W816" s="97"/>
    </row>
    <row r="817" ht="15.75" customHeight="1">
      <c r="D817" s="97"/>
      <c r="F817" s="97"/>
      <c r="G817" s="97"/>
      <c r="H817" s="97"/>
      <c r="I817" s="97"/>
      <c r="J817" s="97"/>
      <c r="W817" s="97"/>
    </row>
    <row r="818" ht="15.75" customHeight="1">
      <c r="D818" s="97"/>
      <c r="F818" s="97"/>
      <c r="G818" s="97"/>
      <c r="H818" s="97"/>
      <c r="I818" s="97"/>
      <c r="J818" s="97"/>
      <c r="W818" s="97"/>
    </row>
    <row r="819" ht="15.75" customHeight="1">
      <c r="D819" s="97"/>
      <c r="F819" s="97"/>
      <c r="G819" s="97"/>
      <c r="H819" s="97"/>
      <c r="I819" s="97"/>
      <c r="J819" s="97"/>
      <c r="W819" s="97"/>
    </row>
    <row r="820" ht="15.75" customHeight="1">
      <c r="D820" s="97"/>
      <c r="F820" s="97"/>
      <c r="G820" s="97"/>
      <c r="H820" s="97"/>
      <c r="I820" s="97"/>
      <c r="J820" s="97"/>
      <c r="W820" s="97"/>
    </row>
    <row r="821" ht="15.75" customHeight="1">
      <c r="D821" s="97"/>
      <c r="F821" s="97"/>
      <c r="G821" s="97"/>
      <c r="H821" s="97"/>
      <c r="I821" s="97"/>
      <c r="J821" s="97"/>
      <c r="W821" s="97"/>
    </row>
    <row r="822" ht="15.75" customHeight="1">
      <c r="D822" s="97"/>
      <c r="F822" s="97"/>
      <c r="G822" s="97"/>
      <c r="H822" s="97"/>
      <c r="I822" s="97"/>
      <c r="J822" s="97"/>
      <c r="W822" s="97"/>
    </row>
    <row r="823" ht="15.75" customHeight="1">
      <c r="D823" s="97"/>
      <c r="F823" s="97"/>
      <c r="G823" s="97"/>
      <c r="H823" s="97"/>
      <c r="I823" s="97"/>
      <c r="J823" s="97"/>
      <c r="W823" s="97"/>
    </row>
    <row r="824" ht="15.75" customHeight="1">
      <c r="D824" s="97"/>
      <c r="F824" s="97"/>
      <c r="G824" s="97"/>
      <c r="H824" s="97"/>
      <c r="I824" s="97"/>
      <c r="J824" s="97"/>
      <c r="W824" s="97"/>
    </row>
    <row r="825" ht="15.75" customHeight="1">
      <c r="D825" s="97"/>
      <c r="F825" s="97"/>
      <c r="G825" s="97"/>
      <c r="H825" s="97"/>
      <c r="I825" s="97"/>
      <c r="J825" s="97"/>
      <c r="W825" s="97"/>
    </row>
    <row r="826" ht="15.75" customHeight="1">
      <c r="D826" s="97"/>
      <c r="F826" s="97"/>
      <c r="G826" s="97"/>
      <c r="H826" s="97"/>
      <c r="I826" s="97"/>
      <c r="J826" s="97"/>
      <c r="W826" s="97"/>
    </row>
    <row r="827" ht="15.75" customHeight="1">
      <c r="D827" s="97"/>
      <c r="F827" s="97"/>
      <c r="G827" s="97"/>
      <c r="H827" s="97"/>
      <c r="I827" s="97"/>
      <c r="J827" s="97"/>
      <c r="W827" s="97"/>
    </row>
    <row r="828" ht="15.75" customHeight="1">
      <c r="D828" s="97"/>
      <c r="F828" s="97"/>
      <c r="G828" s="97"/>
      <c r="H828" s="97"/>
      <c r="I828" s="97"/>
      <c r="J828" s="97"/>
      <c r="W828" s="97"/>
    </row>
    <row r="829" ht="15.75" customHeight="1">
      <c r="D829" s="97"/>
      <c r="F829" s="97"/>
      <c r="G829" s="97"/>
      <c r="H829" s="97"/>
      <c r="I829" s="97"/>
      <c r="J829" s="97"/>
      <c r="W829" s="97"/>
    </row>
    <row r="830" ht="15.75" customHeight="1">
      <c r="D830" s="97"/>
      <c r="F830" s="97"/>
      <c r="G830" s="97"/>
      <c r="H830" s="97"/>
      <c r="I830" s="97"/>
      <c r="J830" s="97"/>
      <c r="W830" s="97"/>
    </row>
    <row r="831" ht="15.75" customHeight="1">
      <c r="D831" s="97"/>
      <c r="F831" s="97"/>
      <c r="G831" s="97"/>
      <c r="H831" s="97"/>
      <c r="I831" s="97"/>
      <c r="J831" s="97"/>
      <c r="W831" s="97"/>
    </row>
    <row r="832" ht="15.75" customHeight="1">
      <c r="D832" s="97"/>
      <c r="F832" s="97"/>
      <c r="G832" s="97"/>
      <c r="H832" s="97"/>
      <c r="I832" s="97"/>
      <c r="J832" s="97"/>
      <c r="W832" s="97"/>
    </row>
    <row r="833" ht="15.75" customHeight="1">
      <c r="D833" s="97"/>
      <c r="F833" s="97"/>
      <c r="G833" s="97"/>
      <c r="H833" s="97"/>
      <c r="I833" s="97"/>
      <c r="J833" s="97"/>
      <c r="W833" s="97"/>
    </row>
    <row r="834" ht="15.75" customHeight="1">
      <c r="D834" s="97"/>
      <c r="F834" s="97"/>
      <c r="G834" s="97"/>
      <c r="H834" s="97"/>
      <c r="I834" s="97"/>
      <c r="J834" s="97"/>
      <c r="W834" s="97"/>
    </row>
    <row r="835" ht="15.75" customHeight="1">
      <c r="D835" s="97"/>
      <c r="F835" s="97"/>
      <c r="G835" s="97"/>
      <c r="H835" s="97"/>
      <c r="I835" s="97"/>
      <c r="J835" s="97"/>
      <c r="W835" s="97"/>
    </row>
    <row r="836" ht="15.75" customHeight="1">
      <c r="D836" s="97"/>
      <c r="F836" s="97"/>
      <c r="G836" s="97"/>
      <c r="H836" s="97"/>
      <c r="I836" s="97"/>
      <c r="J836" s="97"/>
      <c r="W836" s="97"/>
    </row>
    <row r="837" ht="15.75" customHeight="1">
      <c r="D837" s="97"/>
      <c r="F837" s="97"/>
      <c r="G837" s="97"/>
      <c r="H837" s="97"/>
      <c r="I837" s="97"/>
      <c r="J837" s="97"/>
      <c r="W837" s="97"/>
    </row>
    <row r="838" ht="15.75" customHeight="1">
      <c r="D838" s="97"/>
      <c r="F838" s="97"/>
      <c r="G838" s="97"/>
      <c r="H838" s="97"/>
      <c r="I838" s="97"/>
      <c r="J838" s="97"/>
      <c r="W838" s="97"/>
    </row>
    <row r="839" ht="15.75" customHeight="1">
      <c r="D839" s="97"/>
      <c r="F839" s="97"/>
      <c r="G839" s="97"/>
      <c r="H839" s="97"/>
      <c r="I839" s="97"/>
      <c r="J839" s="97"/>
      <c r="W839" s="97"/>
    </row>
    <row r="840" ht="15.75" customHeight="1">
      <c r="D840" s="97"/>
      <c r="F840" s="97"/>
      <c r="G840" s="97"/>
      <c r="H840" s="97"/>
      <c r="I840" s="97"/>
      <c r="J840" s="97"/>
      <c r="W840" s="97"/>
    </row>
    <row r="841" ht="15.75" customHeight="1">
      <c r="D841" s="97"/>
      <c r="F841" s="97"/>
      <c r="G841" s="97"/>
      <c r="H841" s="97"/>
      <c r="I841" s="97"/>
      <c r="J841" s="97"/>
      <c r="W841" s="97"/>
    </row>
    <row r="842" ht="15.75" customHeight="1">
      <c r="D842" s="97"/>
      <c r="F842" s="97"/>
      <c r="G842" s="97"/>
      <c r="H842" s="97"/>
      <c r="I842" s="97"/>
      <c r="J842" s="97"/>
      <c r="W842" s="97"/>
    </row>
    <row r="843" ht="15.75" customHeight="1">
      <c r="D843" s="97"/>
      <c r="F843" s="97"/>
      <c r="G843" s="97"/>
      <c r="H843" s="97"/>
      <c r="I843" s="97"/>
      <c r="J843" s="97"/>
      <c r="W843" s="97"/>
    </row>
    <row r="844" ht="15.75" customHeight="1">
      <c r="D844" s="97"/>
      <c r="F844" s="97"/>
      <c r="G844" s="97"/>
      <c r="H844" s="97"/>
      <c r="I844" s="97"/>
      <c r="J844" s="97"/>
      <c r="W844" s="97"/>
    </row>
    <row r="845" ht="15.75" customHeight="1">
      <c r="D845" s="97"/>
      <c r="F845" s="97"/>
      <c r="G845" s="97"/>
      <c r="H845" s="97"/>
      <c r="I845" s="97"/>
      <c r="J845" s="97"/>
      <c r="W845" s="97"/>
    </row>
    <row r="846" ht="15.75" customHeight="1">
      <c r="D846" s="97"/>
      <c r="F846" s="97"/>
      <c r="G846" s="97"/>
      <c r="H846" s="97"/>
      <c r="I846" s="97"/>
      <c r="J846" s="97"/>
      <c r="W846" s="97"/>
    </row>
    <row r="847" ht="15.75" customHeight="1">
      <c r="D847" s="97"/>
      <c r="F847" s="97"/>
      <c r="G847" s="97"/>
      <c r="H847" s="97"/>
      <c r="I847" s="97"/>
      <c r="J847" s="97"/>
      <c r="W847" s="97"/>
    </row>
    <row r="848" ht="15.75" customHeight="1">
      <c r="D848" s="97"/>
      <c r="F848" s="97"/>
      <c r="G848" s="97"/>
      <c r="H848" s="97"/>
      <c r="I848" s="97"/>
      <c r="J848" s="97"/>
      <c r="W848" s="97"/>
    </row>
    <row r="849" ht="15.75" customHeight="1">
      <c r="D849" s="97"/>
      <c r="F849" s="97"/>
      <c r="G849" s="97"/>
      <c r="H849" s="97"/>
      <c r="I849" s="97"/>
      <c r="J849" s="97"/>
      <c r="W849" s="97"/>
    </row>
    <row r="850" ht="15.75" customHeight="1">
      <c r="D850" s="97"/>
      <c r="F850" s="97"/>
      <c r="G850" s="97"/>
      <c r="H850" s="97"/>
      <c r="I850" s="97"/>
      <c r="J850" s="97"/>
      <c r="W850" s="97"/>
    </row>
    <row r="851" ht="15.75" customHeight="1">
      <c r="D851" s="97"/>
      <c r="F851" s="97"/>
      <c r="G851" s="97"/>
      <c r="H851" s="97"/>
      <c r="I851" s="97"/>
      <c r="J851" s="97"/>
      <c r="W851" s="97"/>
    </row>
    <row r="852" ht="15.75" customHeight="1">
      <c r="D852" s="97"/>
      <c r="F852" s="97"/>
      <c r="G852" s="97"/>
      <c r="H852" s="97"/>
      <c r="I852" s="97"/>
      <c r="J852" s="97"/>
      <c r="W852" s="97"/>
    </row>
    <row r="853" ht="15.75" customHeight="1">
      <c r="D853" s="97"/>
      <c r="F853" s="97"/>
      <c r="G853" s="97"/>
      <c r="H853" s="97"/>
      <c r="I853" s="97"/>
      <c r="J853" s="97"/>
      <c r="W853" s="97"/>
    </row>
    <row r="854" ht="15.75" customHeight="1">
      <c r="D854" s="97"/>
      <c r="F854" s="97"/>
      <c r="G854" s="97"/>
      <c r="H854" s="97"/>
      <c r="I854" s="97"/>
      <c r="J854" s="97"/>
      <c r="W854" s="97"/>
    </row>
    <row r="855" ht="15.75" customHeight="1">
      <c r="D855" s="97"/>
      <c r="F855" s="97"/>
      <c r="G855" s="97"/>
      <c r="H855" s="97"/>
      <c r="I855" s="97"/>
      <c r="J855" s="97"/>
      <c r="W855" s="97"/>
    </row>
    <row r="856" ht="15.75" customHeight="1">
      <c r="D856" s="97"/>
      <c r="F856" s="97"/>
      <c r="G856" s="97"/>
      <c r="H856" s="97"/>
      <c r="I856" s="97"/>
      <c r="J856" s="97"/>
      <c r="W856" s="97"/>
    </row>
    <row r="857" ht="15.75" customHeight="1">
      <c r="D857" s="97"/>
      <c r="F857" s="97"/>
      <c r="G857" s="97"/>
      <c r="H857" s="97"/>
      <c r="I857" s="97"/>
      <c r="J857" s="97"/>
      <c r="W857" s="97"/>
    </row>
    <row r="858" ht="15.75" customHeight="1">
      <c r="D858" s="97"/>
      <c r="F858" s="97"/>
      <c r="G858" s="97"/>
      <c r="H858" s="97"/>
      <c r="I858" s="97"/>
      <c r="J858" s="97"/>
      <c r="W858" s="97"/>
    </row>
    <row r="859" ht="15.75" customHeight="1">
      <c r="D859" s="97"/>
      <c r="F859" s="97"/>
      <c r="G859" s="97"/>
      <c r="H859" s="97"/>
      <c r="I859" s="97"/>
      <c r="J859" s="97"/>
      <c r="W859" s="97"/>
    </row>
    <row r="860" ht="15.75" customHeight="1">
      <c r="D860" s="97"/>
      <c r="F860" s="97"/>
      <c r="G860" s="97"/>
      <c r="H860" s="97"/>
      <c r="I860" s="97"/>
      <c r="J860" s="97"/>
      <c r="W860" s="97"/>
    </row>
    <row r="861" ht="15.75" customHeight="1">
      <c r="D861" s="97"/>
      <c r="F861" s="97"/>
      <c r="G861" s="97"/>
      <c r="H861" s="97"/>
      <c r="I861" s="97"/>
      <c r="J861" s="97"/>
      <c r="W861" s="97"/>
    </row>
    <row r="862" ht="15.75" customHeight="1">
      <c r="D862" s="97"/>
      <c r="F862" s="97"/>
      <c r="G862" s="97"/>
      <c r="H862" s="97"/>
      <c r="I862" s="97"/>
      <c r="J862" s="97"/>
      <c r="W862" s="97"/>
    </row>
    <row r="863" ht="15.75" customHeight="1">
      <c r="D863" s="97"/>
      <c r="F863" s="97"/>
      <c r="G863" s="97"/>
      <c r="H863" s="97"/>
      <c r="I863" s="97"/>
      <c r="J863" s="97"/>
      <c r="W863" s="97"/>
    </row>
    <row r="864" ht="15.75" customHeight="1">
      <c r="D864" s="97"/>
      <c r="F864" s="97"/>
      <c r="G864" s="97"/>
      <c r="H864" s="97"/>
      <c r="I864" s="97"/>
      <c r="J864" s="97"/>
      <c r="W864" s="97"/>
    </row>
    <row r="865" ht="15.75" customHeight="1">
      <c r="D865" s="97"/>
      <c r="F865" s="97"/>
      <c r="G865" s="97"/>
      <c r="H865" s="97"/>
      <c r="I865" s="97"/>
      <c r="J865" s="97"/>
      <c r="W865" s="97"/>
    </row>
    <row r="866" ht="15.75" customHeight="1">
      <c r="D866" s="97"/>
      <c r="F866" s="97"/>
      <c r="G866" s="97"/>
      <c r="H866" s="97"/>
      <c r="I866" s="97"/>
      <c r="J866" s="97"/>
      <c r="W866" s="97"/>
    </row>
    <row r="867" ht="15.75" customHeight="1">
      <c r="D867" s="97"/>
      <c r="F867" s="97"/>
      <c r="G867" s="97"/>
      <c r="H867" s="97"/>
      <c r="I867" s="97"/>
      <c r="J867" s="97"/>
      <c r="W867" s="97"/>
    </row>
    <row r="868" ht="15.75" customHeight="1">
      <c r="D868" s="97"/>
      <c r="F868" s="97"/>
      <c r="G868" s="97"/>
      <c r="H868" s="97"/>
      <c r="I868" s="97"/>
      <c r="J868" s="97"/>
      <c r="W868" s="97"/>
    </row>
    <row r="869" ht="15.75" customHeight="1">
      <c r="D869" s="97"/>
      <c r="F869" s="97"/>
      <c r="G869" s="97"/>
      <c r="H869" s="97"/>
      <c r="I869" s="97"/>
      <c r="J869" s="97"/>
      <c r="W869" s="97"/>
    </row>
    <row r="870" ht="15.75" customHeight="1">
      <c r="D870" s="97"/>
      <c r="F870" s="97"/>
      <c r="G870" s="97"/>
      <c r="H870" s="97"/>
      <c r="I870" s="97"/>
      <c r="J870" s="97"/>
      <c r="W870" s="97"/>
    </row>
    <row r="871" ht="15.75" customHeight="1">
      <c r="D871" s="97"/>
      <c r="F871" s="97"/>
      <c r="G871" s="97"/>
      <c r="H871" s="97"/>
      <c r="I871" s="97"/>
      <c r="J871" s="97"/>
      <c r="W871" s="97"/>
    </row>
    <row r="872" ht="15.75" customHeight="1">
      <c r="D872" s="97"/>
      <c r="F872" s="97"/>
      <c r="G872" s="97"/>
      <c r="H872" s="97"/>
      <c r="I872" s="97"/>
      <c r="J872" s="97"/>
      <c r="W872" s="97"/>
    </row>
    <row r="873" ht="15.75" customHeight="1">
      <c r="D873" s="97"/>
      <c r="F873" s="97"/>
      <c r="G873" s="97"/>
      <c r="H873" s="97"/>
      <c r="I873" s="97"/>
      <c r="J873" s="97"/>
      <c r="W873" s="97"/>
    </row>
    <row r="874" ht="15.75" customHeight="1">
      <c r="D874" s="97"/>
      <c r="F874" s="97"/>
      <c r="G874" s="97"/>
      <c r="H874" s="97"/>
      <c r="I874" s="97"/>
      <c r="J874" s="97"/>
      <c r="W874" s="97"/>
    </row>
    <row r="875" ht="15.75" customHeight="1">
      <c r="D875" s="97"/>
      <c r="F875" s="97"/>
      <c r="G875" s="97"/>
      <c r="H875" s="97"/>
      <c r="I875" s="97"/>
      <c r="J875" s="97"/>
      <c r="W875" s="97"/>
    </row>
    <row r="876" ht="15.75" customHeight="1">
      <c r="D876" s="97"/>
      <c r="F876" s="97"/>
      <c r="G876" s="97"/>
      <c r="H876" s="97"/>
      <c r="I876" s="97"/>
      <c r="J876" s="97"/>
      <c r="W876" s="97"/>
    </row>
    <row r="877" ht="15.75" customHeight="1">
      <c r="D877" s="97"/>
      <c r="F877" s="97"/>
      <c r="G877" s="97"/>
      <c r="H877" s="97"/>
      <c r="I877" s="97"/>
      <c r="J877" s="97"/>
      <c r="W877" s="97"/>
    </row>
    <row r="878" ht="15.75" customHeight="1">
      <c r="D878" s="97"/>
      <c r="F878" s="97"/>
      <c r="G878" s="97"/>
      <c r="H878" s="97"/>
      <c r="I878" s="97"/>
      <c r="J878" s="97"/>
      <c r="W878" s="97"/>
    </row>
    <row r="879" ht="15.75" customHeight="1">
      <c r="D879" s="97"/>
      <c r="F879" s="97"/>
      <c r="G879" s="97"/>
      <c r="H879" s="97"/>
      <c r="I879" s="97"/>
      <c r="J879" s="97"/>
      <c r="W879" s="97"/>
    </row>
    <row r="880" ht="15.75" customHeight="1">
      <c r="D880" s="97"/>
      <c r="F880" s="97"/>
      <c r="G880" s="97"/>
      <c r="H880" s="97"/>
      <c r="I880" s="97"/>
      <c r="J880" s="97"/>
      <c r="W880" s="97"/>
    </row>
    <row r="881" ht="15.75" customHeight="1">
      <c r="D881" s="97"/>
      <c r="F881" s="97"/>
      <c r="G881" s="97"/>
      <c r="H881" s="97"/>
      <c r="I881" s="97"/>
      <c r="J881" s="97"/>
      <c r="W881" s="97"/>
    </row>
    <row r="882" ht="15.75" customHeight="1">
      <c r="D882" s="97"/>
      <c r="F882" s="97"/>
      <c r="G882" s="97"/>
      <c r="H882" s="97"/>
      <c r="I882" s="97"/>
      <c r="J882" s="97"/>
      <c r="W882" s="97"/>
    </row>
    <row r="883" ht="15.75" customHeight="1">
      <c r="D883" s="97"/>
      <c r="F883" s="97"/>
      <c r="G883" s="97"/>
      <c r="H883" s="97"/>
      <c r="I883" s="97"/>
      <c r="J883" s="97"/>
      <c r="W883" s="97"/>
    </row>
    <row r="884" ht="15.75" customHeight="1">
      <c r="D884" s="97"/>
      <c r="F884" s="97"/>
      <c r="G884" s="97"/>
      <c r="H884" s="97"/>
      <c r="I884" s="97"/>
      <c r="J884" s="97"/>
      <c r="W884" s="97"/>
    </row>
    <row r="885" ht="15.75" customHeight="1">
      <c r="D885" s="97"/>
      <c r="F885" s="97"/>
      <c r="G885" s="97"/>
      <c r="H885" s="97"/>
      <c r="I885" s="97"/>
      <c r="J885" s="97"/>
      <c r="W885" s="97"/>
    </row>
    <row r="886" ht="15.75" customHeight="1">
      <c r="D886" s="97"/>
      <c r="F886" s="97"/>
      <c r="G886" s="97"/>
      <c r="H886" s="97"/>
      <c r="I886" s="97"/>
      <c r="J886" s="97"/>
      <c r="W886" s="97"/>
    </row>
    <row r="887" ht="15.75" customHeight="1">
      <c r="D887" s="97"/>
      <c r="F887" s="97"/>
      <c r="G887" s="97"/>
      <c r="H887" s="97"/>
      <c r="I887" s="97"/>
      <c r="J887" s="97"/>
      <c r="W887" s="97"/>
    </row>
    <row r="888" ht="15.75" customHeight="1">
      <c r="D888" s="97"/>
      <c r="F888" s="97"/>
      <c r="G888" s="97"/>
      <c r="H888" s="97"/>
      <c r="I888" s="97"/>
      <c r="J888" s="97"/>
      <c r="W888" s="97"/>
    </row>
    <row r="889" ht="15.75" customHeight="1">
      <c r="D889" s="97"/>
      <c r="F889" s="97"/>
      <c r="G889" s="97"/>
      <c r="H889" s="97"/>
      <c r="I889" s="97"/>
      <c r="J889" s="97"/>
      <c r="W889" s="97"/>
    </row>
    <row r="890" ht="15.75" customHeight="1">
      <c r="D890" s="97"/>
      <c r="F890" s="97"/>
      <c r="G890" s="97"/>
      <c r="H890" s="97"/>
      <c r="I890" s="97"/>
      <c r="J890" s="97"/>
      <c r="W890" s="97"/>
    </row>
    <row r="891" ht="15.75" customHeight="1">
      <c r="D891" s="97"/>
      <c r="F891" s="97"/>
      <c r="G891" s="97"/>
      <c r="H891" s="97"/>
      <c r="I891" s="97"/>
      <c r="J891" s="97"/>
      <c r="W891" s="97"/>
    </row>
    <row r="892" ht="15.75" customHeight="1">
      <c r="D892" s="97"/>
      <c r="F892" s="97"/>
      <c r="G892" s="97"/>
      <c r="H892" s="97"/>
      <c r="I892" s="97"/>
      <c r="J892" s="97"/>
      <c r="W892" s="97"/>
    </row>
    <row r="893" ht="15.75" customHeight="1">
      <c r="D893" s="97"/>
      <c r="F893" s="97"/>
      <c r="G893" s="97"/>
      <c r="H893" s="97"/>
      <c r="I893" s="97"/>
      <c r="J893" s="97"/>
      <c r="W893" s="97"/>
    </row>
    <row r="894" ht="15.75" customHeight="1">
      <c r="D894" s="97"/>
      <c r="F894" s="97"/>
      <c r="G894" s="97"/>
      <c r="H894" s="97"/>
      <c r="I894" s="97"/>
      <c r="J894" s="97"/>
      <c r="W894" s="97"/>
    </row>
    <row r="895" ht="15.75" customHeight="1">
      <c r="D895" s="97"/>
      <c r="F895" s="97"/>
      <c r="G895" s="97"/>
      <c r="H895" s="97"/>
      <c r="I895" s="97"/>
      <c r="J895" s="97"/>
      <c r="W895" s="97"/>
    </row>
    <row r="896" ht="15.75" customHeight="1">
      <c r="D896" s="97"/>
      <c r="F896" s="97"/>
      <c r="G896" s="97"/>
      <c r="H896" s="97"/>
      <c r="I896" s="97"/>
      <c r="J896" s="97"/>
      <c r="W896" s="97"/>
    </row>
    <row r="897" ht="15.75" customHeight="1">
      <c r="D897" s="97"/>
      <c r="F897" s="97"/>
      <c r="G897" s="97"/>
      <c r="H897" s="97"/>
      <c r="I897" s="97"/>
      <c r="J897" s="97"/>
      <c r="W897" s="97"/>
    </row>
    <row r="898" ht="15.75" customHeight="1">
      <c r="D898" s="97"/>
      <c r="F898" s="97"/>
      <c r="G898" s="97"/>
      <c r="H898" s="97"/>
      <c r="I898" s="97"/>
      <c r="J898" s="97"/>
      <c r="W898" s="97"/>
    </row>
    <row r="899" ht="15.75" customHeight="1">
      <c r="D899" s="97"/>
      <c r="F899" s="97"/>
      <c r="G899" s="97"/>
      <c r="H899" s="97"/>
      <c r="I899" s="97"/>
      <c r="J899" s="97"/>
      <c r="W899" s="97"/>
    </row>
    <row r="900" ht="15.75" customHeight="1">
      <c r="D900" s="97"/>
      <c r="F900" s="97"/>
      <c r="G900" s="97"/>
      <c r="H900" s="97"/>
      <c r="I900" s="97"/>
      <c r="J900" s="97"/>
      <c r="W900" s="97"/>
    </row>
    <row r="901" ht="15.75" customHeight="1">
      <c r="D901" s="97"/>
      <c r="F901" s="97"/>
      <c r="G901" s="97"/>
      <c r="H901" s="97"/>
      <c r="I901" s="97"/>
      <c r="J901" s="97"/>
      <c r="W901" s="97"/>
    </row>
    <row r="902" ht="15.75" customHeight="1">
      <c r="D902" s="97"/>
      <c r="F902" s="97"/>
      <c r="G902" s="97"/>
      <c r="H902" s="97"/>
      <c r="I902" s="97"/>
      <c r="J902" s="97"/>
      <c r="W902" s="97"/>
    </row>
    <row r="903" ht="15.75" customHeight="1">
      <c r="D903" s="97"/>
      <c r="F903" s="97"/>
      <c r="G903" s="97"/>
      <c r="H903" s="97"/>
      <c r="I903" s="97"/>
      <c r="J903" s="97"/>
      <c r="W903" s="97"/>
    </row>
    <row r="904" ht="15.75" customHeight="1">
      <c r="D904" s="97"/>
      <c r="F904" s="97"/>
      <c r="G904" s="97"/>
      <c r="H904" s="97"/>
      <c r="I904" s="97"/>
      <c r="J904" s="97"/>
      <c r="W904" s="97"/>
    </row>
    <row r="905" ht="15.75" customHeight="1">
      <c r="D905" s="97"/>
      <c r="F905" s="97"/>
      <c r="G905" s="97"/>
      <c r="H905" s="97"/>
      <c r="I905" s="97"/>
      <c r="J905" s="97"/>
      <c r="W905" s="97"/>
    </row>
    <row r="906" ht="15.75" customHeight="1">
      <c r="D906" s="97"/>
      <c r="F906" s="97"/>
      <c r="G906" s="97"/>
      <c r="H906" s="97"/>
      <c r="I906" s="97"/>
      <c r="J906" s="97"/>
      <c r="W906" s="97"/>
    </row>
    <row r="907" ht="15.75" customHeight="1">
      <c r="D907" s="97"/>
      <c r="F907" s="97"/>
      <c r="G907" s="97"/>
      <c r="H907" s="97"/>
      <c r="I907" s="97"/>
      <c r="J907" s="97"/>
      <c r="W907" s="97"/>
    </row>
    <row r="908" ht="15.75" customHeight="1">
      <c r="D908" s="97"/>
      <c r="F908" s="97"/>
      <c r="G908" s="97"/>
      <c r="H908" s="97"/>
      <c r="I908" s="97"/>
      <c r="J908" s="97"/>
      <c r="W908" s="97"/>
    </row>
    <row r="909" ht="15.75" customHeight="1">
      <c r="D909" s="97"/>
      <c r="F909" s="97"/>
      <c r="G909" s="97"/>
      <c r="H909" s="97"/>
      <c r="I909" s="97"/>
      <c r="J909" s="97"/>
      <c r="W909" s="97"/>
    </row>
    <row r="910" ht="15.75" customHeight="1">
      <c r="D910" s="97"/>
      <c r="F910" s="97"/>
      <c r="G910" s="97"/>
      <c r="H910" s="97"/>
      <c r="I910" s="97"/>
      <c r="J910" s="97"/>
      <c r="W910" s="97"/>
    </row>
    <row r="911" ht="15.75" customHeight="1">
      <c r="D911" s="97"/>
      <c r="F911" s="97"/>
      <c r="G911" s="97"/>
      <c r="H911" s="97"/>
      <c r="I911" s="97"/>
      <c r="J911" s="97"/>
      <c r="W911" s="97"/>
    </row>
    <row r="912" ht="15.75" customHeight="1">
      <c r="D912" s="97"/>
      <c r="F912" s="97"/>
      <c r="G912" s="97"/>
      <c r="H912" s="97"/>
      <c r="I912" s="97"/>
      <c r="J912" s="97"/>
      <c r="W912" s="97"/>
    </row>
    <row r="913" ht="15.75" customHeight="1">
      <c r="D913" s="97"/>
      <c r="F913" s="97"/>
      <c r="G913" s="97"/>
      <c r="H913" s="97"/>
      <c r="I913" s="97"/>
      <c r="J913" s="97"/>
      <c r="W913" s="97"/>
    </row>
    <row r="914" ht="15.75" customHeight="1">
      <c r="D914" s="97"/>
      <c r="F914" s="97"/>
      <c r="G914" s="97"/>
      <c r="H914" s="97"/>
      <c r="I914" s="97"/>
      <c r="J914" s="97"/>
      <c r="W914" s="97"/>
    </row>
    <row r="915" ht="15.75" customHeight="1">
      <c r="D915" s="97"/>
      <c r="F915" s="97"/>
      <c r="G915" s="97"/>
      <c r="H915" s="97"/>
      <c r="I915" s="97"/>
      <c r="J915" s="97"/>
      <c r="W915" s="97"/>
    </row>
    <row r="916" ht="15.75" customHeight="1">
      <c r="D916" s="97"/>
      <c r="F916" s="97"/>
      <c r="G916" s="97"/>
      <c r="H916" s="97"/>
      <c r="I916" s="97"/>
      <c r="J916" s="97"/>
      <c r="W916" s="97"/>
    </row>
    <row r="917" ht="15.75" customHeight="1">
      <c r="D917" s="97"/>
      <c r="F917" s="97"/>
      <c r="G917" s="97"/>
      <c r="H917" s="97"/>
      <c r="I917" s="97"/>
      <c r="J917" s="97"/>
      <c r="W917" s="97"/>
    </row>
    <row r="918" ht="15.75" customHeight="1">
      <c r="D918" s="97"/>
      <c r="F918" s="97"/>
      <c r="G918" s="97"/>
      <c r="H918" s="97"/>
      <c r="I918" s="97"/>
      <c r="J918" s="97"/>
      <c r="W918" s="97"/>
    </row>
    <row r="919" ht="15.75" customHeight="1">
      <c r="D919" s="97"/>
      <c r="F919" s="97"/>
      <c r="G919" s="97"/>
      <c r="H919" s="97"/>
      <c r="I919" s="97"/>
      <c r="J919" s="97"/>
      <c r="W919" s="97"/>
    </row>
    <row r="920" ht="15.75" customHeight="1">
      <c r="D920" s="97"/>
      <c r="F920" s="97"/>
      <c r="G920" s="97"/>
      <c r="H920" s="97"/>
      <c r="I920" s="97"/>
      <c r="J920" s="97"/>
      <c r="W920" s="97"/>
    </row>
    <row r="921" ht="15.75" customHeight="1">
      <c r="D921" s="97"/>
      <c r="F921" s="97"/>
      <c r="G921" s="97"/>
      <c r="H921" s="97"/>
      <c r="I921" s="97"/>
      <c r="J921" s="97"/>
      <c r="W921" s="97"/>
    </row>
    <row r="922" ht="15.75" customHeight="1">
      <c r="D922" s="97"/>
      <c r="F922" s="97"/>
      <c r="G922" s="97"/>
      <c r="H922" s="97"/>
      <c r="I922" s="97"/>
      <c r="J922" s="97"/>
      <c r="W922" s="97"/>
    </row>
    <row r="923" ht="15.75" customHeight="1">
      <c r="D923" s="97"/>
      <c r="F923" s="97"/>
      <c r="G923" s="97"/>
      <c r="H923" s="97"/>
      <c r="I923" s="97"/>
      <c r="J923" s="97"/>
      <c r="W923" s="97"/>
    </row>
    <row r="924" ht="15.75" customHeight="1">
      <c r="D924" s="97"/>
      <c r="F924" s="97"/>
      <c r="G924" s="97"/>
      <c r="H924" s="97"/>
      <c r="I924" s="97"/>
      <c r="J924" s="97"/>
      <c r="W924" s="97"/>
    </row>
    <row r="925" ht="15.75" customHeight="1">
      <c r="D925" s="97"/>
      <c r="F925" s="97"/>
      <c r="G925" s="97"/>
      <c r="H925" s="97"/>
      <c r="I925" s="97"/>
      <c r="J925" s="97"/>
      <c r="W925" s="97"/>
    </row>
    <row r="926" ht="15.75" customHeight="1">
      <c r="D926" s="97"/>
      <c r="F926" s="97"/>
      <c r="G926" s="97"/>
      <c r="H926" s="97"/>
      <c r="I926" s="97"/>
      <c r="J926" s="97"/>
      <c r="W926" s="97"/>
    </row>
    <row r="927" ht="15.75" customHeight="1">
      <c r="D927" s="97"/>
      <c r="F927" s="97"/>
      <c r="G927" s="97"/>
      <c r="H927" s="97"/>
      <c r="I927" s="97"/>
      <c r="J927" s="97"/>
      <c r="W927" s="97"/>
    </row>
    <row r="928" ht="15.75" customHeight="1">
      <c r="D928" s="97"/>
      <c r="F928" s="97"/>
      <c r="G928" s="97"/>
      <c r="H928" s="97"/>
      <c r="I928" s="97"/>
      <c r="J928" s="97"/>
      <c r="W928" s="97"/>
    </row>
    <row r="929" ht="15.75" customHeight="1">
      <c r="D929" s="97"/>
      <c r="F929" s="97"/>
      <c r="G929" s="97"/>
      <c r="H929" s="97"/>
      <c r="I929" s="97"/>
      <c r="J929" s="97"/>
      <c r="W929" s="97"/>
    </row>
    <row r="930" ht="15.75" customHeight="1">
      <c r="D930" s="97"/>
      <c r="F930" s="97"/>
      <c r="G930" s="97"/>
      <c r="H930" s="97"/>
      <c r="I930" s="97"/>
      <c r="J930" s="97"/>
      <c r="W930" s="97"/>
    </row>
    <row r="931" ht="15.75" customHeight="1">
      <c r="D931" s="97"/>
      <c r="F931" s="97"/>
      <c r="G931" s="97"/>
      <c r="H931" s="97"/>
      <c r="I931" s="97"/>
      <c r="J931" s="97"/>
      <c r="W931" s="97"/>
    </row>
    <row r="932" ht="15.75" customHeight="1">
      <c r="D932" s="97"/>
      <c r="F932" s="97"/>
      <c r="G932" s="97"/>
      <c r="H932" s="97"/>
      <c r="I932" s="97"/>
      <c r="J932" s="97"/>
      <c r="W932" s="97"/>
    </row>
    <row r="933" ht="15.75" customHeight="1">
      <c r="D933" s="97"/>
      <c r="F933" s="97"/>
      <c r="G933" s="97"/>
      <c r="H933" s="97"/>
      <c r="I933" s="97"/>
      <c r="J933" s="97"/>
      <c r="W933" s="97"/>
    </row>
    <row r="934" ht="15.75" customHeight="1">
      <c r="D934" s="97"/>
      <c r="F934" s="97"/>
      <c r="G934" s="97"/>
      <c r="H934" s="97"/>
      <c r="I934" s="97"/>
      <c r="J934" s="97"/>
      <c r="W934" s="97"/>
    </row>
    <row r="935" ht="15.75" customHeight="1">
      <c r="D935" s="97"/>
      <c r="F935" s="97"/>
      <c r="G935" s="97"/>
      <c r="H935" s="97"/>
      <c r="I935" s="97"/>
      <c r="J935" s="97"/>
      <c r="W935" s="97"/>
    </row>
    <row r="936" ht="15.75" customHeight="1">
      <c r="D936" s="97"/>
      <c r="F936" s="97"/>
      <c r="G936" s="97"/>
      <c r="H936" s="97"/>
      <c r="I936" s="97"/>
      <c r="J936" s="97"/>
      <c r="W936" s="97"/>
    </row>
    <row r="937" ht="15.75" customHeight="1">
      <c r="D937" s="97"/>
      <c r="F937" s="97"/>
      <c r="G937" s="97"/>
      <c r="H937" s="97"/>
      <c r="I937" s="97"/>
      <c r="J937" s="97"/>
      <c r="W937" s="97"/>
    </row>
    <row r="938" ht="15.75" customHeight="1">
      <c r="D938" s="97"/>
      <c r="F938" s="97"/>
      <c r="G938" s="97"/>
      <c r="H938" s="97"/>
      <c r="I938" s="97"/>
      <c r="J938" s="97"/>
      <c r="W938" s="97"/>
    </row>
    <row r="939" ht="15.75" customHeight="1">
      <c r="D939" s="97"/>
      <c r="F939" s="97"/>
      <c r="G939" s="97"/>
      <c r="H939" s="97"/>
      <c r="I939" s="97"/>
      <c r="J939" s="97"/>
      <c r="W939" s="97"/>
    </row>
    <row r="940" ht="15.75" customHeight="1">
      <c r="D940" s="97"/>
      <c r="F940" s="97"/>
      <c r="G940" s="97"/>
      <c r="H940" s="97"/>
      <c r="I940" s="97"/>
      <c r="J940" s="97"/>
      <c r="W940" s="97"/>
    </row>
    <row r="941" ht="15.75" customHeight="1">
      <c r="D941" s="97"/>
      <c r="F941" s="97"/>
      <c r="G941" s="97"/>
      <c r="H941" s="97"/>
      <c r="I941" s="97"/>
      <c r="J941" s="97"/>
      <c r="W941" s="97"/>
    </row>
    <row r="942" ht="15.75" customHeight="1">
      <c r="D942" s="97"/>
      <c r="F942" s="97"/>
      <c r="G942" s="97"/>
      <c r="H942" s="97"/>
      <c r="I942" s="97"/>
      <c r="J942" s="97"/>
      <c r="W942" s="97"/>
    </row>
    <row r="943" ht="15.75" customHeight="1">
      <c r="D943" s="97"/>
      <c r="F943" s="97"/>
      <c r="G943" s="97"/>
      <c r="H943" s="97"/>
      <c r="I943" s="97"/>
      <c r="J943" s="97"/>
      <c r="W943" s="97"/>
    </row>
    <row r="944" ht="15.75" customHeight="1">
      <c r="D944" s="97"/>
      <c r="F944" s="97"/>
      <c r="G944" s="97"/>
      <c r="H944" s="97"/>
      <c r="I944" s="97"/>
      <c r="J944" s="97"/>
      <c r="W944" s="97"/>
    </row>
    <row r="945" ht="15.75" customHeight="1">
      <c r="D945" s="97"/>
      <c r="F945" s="97"/>
      <c r="G945" s="97"/>
      <c r="H945" s="97"/>
      <c r="I945" s="97"/>
      <c r="J945" s="97"/>
      <c r="W945" s="97"/>
    </row>
    <row r="946" ht="15.75" customHeight="1">
      <c r="D946" s="97"/>
      <c r="F946" s="97"/>
      <c r="G946" s="97"/>
      <c r="H946" s="97"/>
      <c r="I946" s="97"/>
      <c r="J946" s="97"/>
      <c r="W946" s="97"/>
    </row>
    <row r="947" ht="15.75" customHeight="1">
      <c r="D947" s="97"/>
      <c r="F947" s="97"/>
      <c r="G947" s="97"/>
      <c r="H947" s="97"/>
      <c r="I947" s="97"/>
      <c r="J947" s="97"/>
      <c r="W947" s="97"/>
    </row>
    <row r="948" ht="15.75" customHeight="1">
      <c r="D948" s="97"/>
      <c r="F948" s="97"/>
      <c r="G948" s="97"/>
      <c r="H948" s="97"/>
      <c r="I948" s="97"/>
      <c r="J948" s="97"/>
      <c r="W948" s="97"/>
    </row>
    <row r="949" ht="15.75" customHeight="1">
      <c r="D949" s="97"/>
      <c r="F949" s="97"/>
      <c r="G949" s="97"/>
      <c r="H949" s="97"/>
      <c r="I949" s="97"/>
      <c r="J949" s="97"/>
      <c r="W949" s="97"/>
    </row>
    <row r="950" ht="15.75" customHeight="1">
      <c r="D950" s="97"/>
      <c r="F950" s="97"/>
      <c r="G950" s="97"/>
      <c r="H950" s="97"/>
      <c r="I950" s="97"/>
      <c r="J950" s="97"/>
      <c r="W950" s="97"/>
    </row>
    <row r="951" ht="15.75" customHeight="1">
      <c r="D951" s="97"/>
      <c r="F951" s="97"/>
      <c r="G951" s="97"/>
      <c r="H951" s="97"/>
      <c r="I951" s="97"/>
      <c r="J951" s="97"/>
      <c r="W951" s="97"/>
    </row>
    <row r="952" ht="15.75" customHeight="1">
      <c r="D952" s="97"/>
      <c r="F952" s="97"/>
      <c r="G952" s="97"/>
      <c r="H952" s="97"/>
      <c r="I952" s="97"/>
      <c r="J952" s="97"/>
      <c r="W952" s="97"/>
    </row>
    <row r="953" ht="15.75" customHeight="1">
      <c r="D953" s="97"/>
      <c r="F953" s="97"/>
      <c r="G953" s="97"/>
      <c r="H953" s="97"/>
      <c r="I953" s="97"/>
      <c r="J953" s="97"/>
      <c r="W953" s="97"/>
    </row>
    <row r="954" ht="15.75" customHeight="1">
      <c r="D954" s="97"/>
      <c r="F954" s="97"/>
      <c r="G954" s="97"/>
      <c r="H954" s="97"/>
      <c r="I954" s="97"/>
      <c r="J954" s="97"/>
      <c r="W954" s="97"/>
    </row>
    <row r="955" ht="15.75" customHeight="1">
      <c r="D955" s="97"/>
      <c r="F955" s="97"/>
      <c r="G955" s="97"/>
      <c r="H955" s="97"/>
      <c r="I955" s="97"/>
      <c r="J955" s="97"/>
      <c r="W955" s="97"/>
    </row>
    <row r="956" ht="15.75" customHeight="1">
      <c r="D956" s="97"/>
      <c r="F956" s="97"/>
      <c r="G956" s="97"/>
      <c r="H956" s="97"/>
      <c r="I956" s="97"/>
      <c r="J956" s="97"/>
      <c r="W956" s="97"/>
    </row>
    <row r="957" ht="15.75" customHeight="1">
      <c r="D957" s="97"/>
      <c r="F957" s="97"/>
      <c r="G957" s="97"/>
      <c r="H957" s="97"/>
      <c r="I957" s="97"/>
      <c r="J957" s="97"/>
      <c r="W957" s="97"/>
    </row>
    <row r="958" ht="15.75" customHeight="1">
      <c r="D958" s="97"/>
      <c r="F958" s="97"/>
      <c r="G958" s="97"/>
      <c r="H958" s="97"/>
      <c r="I958" s="97"/>
      <c r="J958" s="97"/>
      <c r="W958" s="97"/>
    </row>
    <row r="959" ht="15.75" customHeight="1">
      <c r="D959" s="97"/>
      <c r="F959" s="97"/>
      <c r="G959" s="97"/>
      <c r="H959" s="97"/>
      <c r="I959" s="97"/>
      <c r="J959" s="97"/>
      <c r="W959" s="97"/>
    </row>
    <row r="960" ht="15.75" customHeight="1">
      <c r="D960" s="97"/>
      <c r="F960" s="97"/>
      <c r="G960" s="97"/>
      <c r="H960" s="97"/>
      <c r="I960" s="97"/>
      <c r="J960" s="97"/>
      <c r="W960" s="97"/>
    </row>
    <row r="961" ht="15.75" customHeight="1">
      <c r="D961" s="97"/>
      <c r="F961" s="97"/>
      <c r="G961" s="97"/>
      <c r="H961" s="97"/>
      <c r="I961" s="97"/>
      <c r="J961" s="97"/>
      <c r="W961" s="97"/>
    </row>
    <row r="962" ht="15.75" customHeight="1">
      <c r="D962" s="97"/>
      <c r="F962" s="97"/>
      <c r="G962" s="97"/>
      <c r="H962" s="97"/>
      <c r="I962" s="97"/>
      <c r="J962" s="97"/>
      <c r="W962" s="97"/>
    </row>
    <row r="963" ht="15.75" customHeight="1">
      <c r="D963" s="97"/>
      <c r="F963" s="97"/>
      <c r="G963" s="97"/>
      <c r="H963" s="97"/>
      <c r="I963" s="97"/>
      <c r="J963" s="97"/>
      <c r="W963" s="97"/>
    </row>
    <row r="964" ht="15.75" customHeight="1">
      <c r="D964" s="97"/>
      <c r="F964" s="97"/>
      <c r="G964" s="97"/>
      <c r="H964" s="97"/>
      <c r="I964" s="97"/>
      <c r="J964" s="97"/>
      <c r="W964" s="97"/>
    </row>
    <row r="965" ht="15.75" customHeight="1">
      <c r="D965" s="97"/>
      <c r="F965" s="97"/>
      <c r="G965" s="97"/>
      <c r="H965" s="97"/>
      <c r="I965" s="97"/>
      <c r="J965" s="97"/>
      <c r="W965" s="97"/>
    </row>
    <row r="966" ht="15.75" customHeight="1">
      <c r="D966" s="97"/>
      <c r="F966" s="97"/>
      <c r="G966" s="97"/>
      <c r="H966" s="97"/>
      <c r="I966" s="97"/>
      <c r="J966" s="97"/>
      <c r="W966" s="97"/>
    </row>
    <row r="967" ht="15.75" customHeight="1">
      <c r="D967" s="97"/>
      <c r="F967" s="97"/>
      <c r="G967" s="97"/>
      <c r="H967" s="97"/>
      <c r="I967" s="97"/>
      <c r="J967" s="97"/>
      <c r="W967" s="97"/>
    </row>
    <row r="968" ht="15.75" customHeight="1">
      <c r="D968" s="97"/>
      <c r="F968" s="97"/>
      <c r="G968" s="97"/>
      <c r="H968" s="97"/>
      <c r="I968" s="97"/>
      <c r="J968" s="97"/>
      <c r="W968" s="97"/>
    </row>
    <row r="969" ht="15.75" customHeight="1">
      <c r="D969" s="97"/>
      <c r="F969" s="97"/>
      <c r="G969" s="97"/>
      <c r="H969" s="97"/>
      <c r="I969" s="97"/>
      <c r="J969" s="97"/>
      <c r="W969" s="97"/>
    </row>
    <row r="970" ht="15.75" customHeight="1">
      <c r="D970" s="97"/>
      <c r="F970" s="97"/>
      <c r="G970" s="97"/>
      <c r="H970" s="97"/>
      <c r="I970" s="97"/>
      <c r="J970" s="97"/>
      <c r="W970" s="97"/>
    </row>
    <row r="971" ht="15.75" customHeight="1">
      <c r="D971" s="97"/>
      <c r="F971" s="97"/>
      <c r="G971" s="97"/>
      <c r="H971" s="97"/>
      <c r="I971" s="97"/>
      <c r="J971" s="97"/>
      <c r="W971" s="97"/>
    </row>
    <row r="972" ht="15.75" customHeight="1">
      <c r="D972" s="97"/>
      <c r="F972" s="97"/>
      <c r="G972" s="97"/>
      <c r="H972" s="97"/>
      <c r="I972" s="97"/>
      <c r="J972" s="97"/>
      <c r="W972" s="97"/>
    </row>
    <row r="973" ht="15.75" customHeight="1">
      <c r="D973" s="97"/>
      <c r="F973" s="97"/>
      <c r="G973" s="97"/>
      <c r="H973" s="97"/>
      <c r="I973" s="97"/>
      <c r="J973" s="97"/>
      <c r="W973" s="97"/>
    </row>
    <row r="974" ht="15.75" customHeight="1">
      <c r="D974" s="97"/>
      <c r="F974" s="97"/>
      <c r="G974" s="97"/>
      <c r="H974" s="97"/>
      <c r="I974" s="97"/>
      <c r="J974" s="97"/>
      <c r="W974" s="97"/>
    </row>
    <row r="975" ht="15.75" customHeight="1">
      <c r="D975" s="97"/>
      <c r="F975" s="97"/>
      <c r="G975" s="97"/>
      <c r="H975" s="97"/>
      <c r="I975" s="97"/>
      <c r="J975" s="97"/>
      <c r="W975" s="97"/>
    </row>
    <row r="976" ht="15.75" customHeight="1">
      <c r="D976" s="97"/>
      <c r="F976" s="97"/>
      <c r="G976" s="97"/>
      <c r="H976" s="97"/>
      <c r="I976" s="97"/>
      <c r="J976" s="97"/>
      <c r="W976" s="97"/>
    </row>
    <row r="977" ht="15.75" customHeight="1">
      <c r="D977" s="97"/>
      <c r="F977" s="97"/>
      <c r="G977" s="97"/>
      <c r="H977" s="97"/>
      <c r="I977" s="97"/>
      <c r="J977" s="97"/>
      <c r="W977" s="97"/>
    </row>
    <row r="978" ht="15.75" customHeight="1">
      <c r="D978" s="97"/>
      <c r="F978" s="97"/>
      <c r="G978" s="97"/>
      <c r="H978" s="97"/>
      <c r="I978" s="97"/>
      <c r="J978" s="97"/>
      <c r="W978" s="97"/>
    </row>
    <row r="979" ht="15.75" customHeight="1">
      <c r="D979" s="97"/>
      <c r="F979" s="97"/>
      <c r="G979" s="97"/>
      <c r="H979" s="97"/>
      <c r="I979" s="97"/>
      <c r="J979" s="97"/>
      <c r="W979" s="97"/>
    </row>
    <row r="980" ht="15.75" customHeight="1">
      <c r="D980" s="97"/>
      <c r="F980" s="97"/>
      <c r="G980" s="97"/>
      <c r="H980" s="97"/>
      <c r="I980" s="97"/>
      <c r="J980" s="97"/>
      <c r="W980" s="97"/>
    </row>
    <row r="981" ht="15.75" customHeight="1">
      <c r="D981" s="97"/>
      <c r="F981" s="97"/>
      <c r="G981" s="97"/>
      <c r="H981" s="97"/>
      <c r="I981" s="97"/>
      <c r="J981" s="97"/>
      <c r="W981" s="97"/>
    </row>
    <row r="982" ht="15.75" customHeight="1">
      <c r="D982" s="97"/>
      <c r="F982" s="97"/>
      <c r="G982" s="97"/>
      <c r="H982" s="97"/>
      <c r="I982" s="97"/>
      <c r="J982" s="97"/>
      <c r="W982" s="97"/>
    </row>
    <row r="983" ht="15.75" customHeight="1">
      <c r="D983" s="97"/>
      <c r="F983" s="97"/>
      <c r="G983" s="97"/>
      <c r="H983" s="97"/>
      <c r="I983" s="97"/>
      <c r="J983" s="97"/>
      <c r="W983" s="97"/>
    </row>
    <row r="984" ht="15.75" customHeight="1">
      <c r="D984" s="97"/>
      <c r="F984" s="97"/>
      <c r="G984" s="97"/>
      <c r="H984" s="97"/>
      <c r="I984" s="97"/>
      <c r="J984" s="97"/>
      <c r="W984" s="97"/>
    </row>
    <row r="985" ht="15.75" customHeight="1">
      <c r="D985" s="97"/>
      <c r="F985" s="97"/>
      <c r="G985" s="97"/>
      <c r="H985" s="97"/>
      <c r="I985" s="97"/>
      <c r="J985" s="97"/>
      <c r="W985" s="97"/>
    </row>
    <row r="986" ht="15.75" customHeight="1">
      <c r="D986" s="97"/>
      <c r="F986" s="97"/>
      <c r="G986" s="97"/>
      <c r="H986" s="97"/>
      <c r="I986" s="97"/>
      <c r="J986" s="97"/>
      <c r="W986" s="97"/>
    </row>
    <row r="987" ht="15.75" customHeight="1">
      <c r="D987" s="97"/>
      <c r="F987" s="97"/>
      <c r="G987" s="97"/>
      <c r="H987" s="97"/>
      <c r="I987" s="97"/>
      <c r="J987" s="97"/>
      <c r="W987" s="97"/>
    </row>
    <row r="988" ht="15.75" customHeight="1">
      <c r="D988" s="97"/>
      <c r="F988" s="97"/>
      <c r="G988" s="97"/>
      <c r="H988" s="97"/>
      <c r="I988" s="97"/>
      <c r="J988" s="97"/>
      <c r="W988" s="97"/>
    </row>
    <row r="989" ht="15.75" customHeight="1">
      <c r="D989" s="97"/>
      <c r="F989" s="97"/>
      <c r="G989" s="97"/>
      <c r="H989" s="97"/>
      <c r="I989" s="97"/>
      <c r="J989" s="97"/>
      <c r="W989" s="97"/>
    </row>
    <row r="990" ht="15.75" customHeight="1">
      <c r="D990" s="97"/>
      <c r="F990" s="97"/>
      <c r="G990" s="97"/>
      <c r="H990" s="97"/>
      <c r="I990" s="97"/>
      <c r="J990" s="97"/>
      <c r="W990" s="97"/>
    </row>
    <row r="991" ht="15.75" customHeight="1">
      <c r="D991" s="97"/>
      <c r="F991" s="97"/>
      <c r="G991" s="97"/>
      <c r="H991" s="97"/>
      <c r="I991" s="97"/>
      <c r="J991" s="97"/>
      <c r="W991" s="97"/>
    </row>
    <row r="992" ht="15.75" customHeight="1">
      <c r="D992" s="97"/>
      <c r="F992" s="97"/>
      <c r="G992" s="97"/>
      <c r="H992" s="97"/>
      <c r="I992" s="97"/>
      <c r="J992" s="97"/>
      <c r="W992" s="97"/>
    </row>
    <row r="993" ht="15.75" customHeight="1">
      <c r="D993" s="97"/>
      <c r="F993" s="97"/>
      <c r="G993" s="97"/>
      <c r="H993" s="97"/>
      <c r="I993" s="97"/>
      <c r="J993" s="97"/>
      <c r="W993" s="97"/>
    </row>
    <row r="994" ht="15.75" customHeight="1">
      <c r="D994" s="97"/>
      <c r="F994" s="97"/>
      <c r="G994" s="97"/>
      <c r="H994" s="97"/>
      <c r="I994" s="97"/>
      <c r="J994" s="97"/>
      <c r="W994" s="97"/>
    </row>
    <row r="995" ht="15.75" customHeight="1">
      <c r="D995" s="97"/>
      <c r="F995" s="97"/>
      <c r="G995" s="97"/>
      <c r="H995" s="97"/>
      <c r="I995" s="97"/>
      <c r="J995" s="97"/>
      <c r="W995" s="97"/>
    </row>
    <row r="996" ht="15.75" customHeight="1">
      <c r="D996" s="97"/>
      <c r="F996" s="97"/>
      <c r="G996" s="97"/>
      <c r="H996" s="97"/>
      <c r="I996" s="97"/>
      <c r="J996" s="97"/>
      <c r="W996" s="97"/>
    </row>
    <row r="997" ht="15.75" customHeight="1">
      <c r="D997" s="97"/>
      <c r="F997" s="97"/>
      <c r="G997" s="97"/>
      <c r="H997" s="97"/>
      <c r="I997" s="97"/>
      <c r="J997" s="97"/>
      <c r="W997" s="97"/>
    </row>
    <row r="998" ht="15.75" customHeight="1">
      <c r="D998" s="97"/>
      <c r="F998" s="97"/>
      <c r="G998" s="97"/>
      <c r="H998" s="97"/>
      <c r="I998" s="97"/>
      <c r="J998" s="97"/>
      <c r="W998" s="97"/>
    </row>
    <row r="999" ht="15.75" customHeight="1">
      <c r="D999" s="97"/>
      <c r="F999" s="97"/>
      <c r="G999" s="97"/>
      <c r="H999" s="97"/>
      <c r="I999" s="97"/>
      <c r="J999" s="97"/>
      <c r="W999" s="97"/>
    </row>
    <row r="1000" ht="15.75" customHeight="1">
      <c r="D1000" s="97"/>
      <c r="F1000" s="97"/>
      <c r="G1000" s="97"/>
      <c r="H1000" s="97"/>
      <c r="I1000" s="97"/>
      <c r="J1000" s="97"/>
      <c r="W1000" s="97"/>
    </row>
    <row r="1001" ht="15.75" customHeight="1">
      <c r="D1001" s="97"/>
      <c r="F1001" s="97"/>
      <c r="G1001" s="97"/>
      <c r="H1001" s="97"/>
      <c r="I1001" s="97"/>
      <c r="J1001" s="97"/>
      <c r="W1001" s="97"/>
    </row>
    <row r="1002" ht="15.75" customHeight="1">
      <c r="D1002" s="97"/>
      <c r="F1002" s="97"/>
      <c r="G1002" s="97"/>
      <c r="H1002" s="97"/>
      <c r="I1002" s="97"/>
      <c r="J1002" s="97"/>
      <c r="W1002" s="97"/>
    </row>
    <row r="1003" ht="15.75" customHeight="1">
      <c r="D1003" s="97"/>
      <c r="F1003" s="97"/>
      <c r="G1003" s="97"/>
      <c r="H1003" s="97"/>
      <c r="I1003" s="97"/>
      <c r="J1003" s="97"/>
      <c r="W1003" s="97"/>
    </row>
    <row r="1004" ht="15.75" customHeight="1">
      <c r="D1004" s="97"/>
      <c r="F1004" s="97"/>
      <c r="G1004" s="97"/>
      <c r="H1004" s="97"/>
      <c r="I1004" s="97"/>
      <c r="J1004" s="97"/>
      <c r="W1004" s="97"/>
    </row>
    <row r="1005" ht="15.75" customHeight="1">
      <c r="D1005" s="97"/>
      <c r="F1005" s="97"/>
      <c r="G1005" s="97"/>
      <c r="H1005" s="97"/>
      <c r="I1005" s="97"/>
      <c r="J1005" s="97"/>
      <c r="W1005" s="97"/>
    </row>
    <row r="1006" ht="15.75" customHeight="1">
      <c r="D1006" s="97"/>
      <c r="F1006" s="97"/>
      <c r="G1006" s="97"/>
      <c r="H1006" s="97"/>
      <c r="I1006" s="97"/>
      <c r="J1006" s="97"/>
      <c r="W1006" s="97"/>
    </row>
    <row r="1007" ht="15.75" customHeight="1">
      <c r="D1007" s="97"/>
      <c r="F1007" s="97"/>
      <c r="G1007" s="97"/>
      <c r="H1007" s="97"/>
      <c r="I1007" s="97"/>
      <c r="J1007" s="97"/>
      <c r="W1007" s="97"/>
    </row>
    <row r="1008" ht="15.75" customHeight="1">
      <c r="D1008" s="97"/>
      <c r="F1008" s="97"/>
      <c r="G1008" s="97"/>
      <c r="H1008" s="97"/>
      <c r="I1008" s="97"/>
      <c r="J1008" s="97"/>
      <c r="W1008" s="97"/>
    </row>
    <row r="1009" ht="15.75" customHeight="1">
      <c r="D1009" s="97"/>
      <c r="F1009" s="97"/>
      <c r="G1009" s="97"/>
      <c r="H1009" s="97"/>
      <c r="I1009" s="97"/>
      <c r="J1009" s="97"/>
      <c r="W1009" s="97"/>
    </row>
    <row r="1010" ht="15.75" customHeight="1">
      <c r="D1010" s="97"/>
      <c r="F1010" s="97"/>
      <c r="G1010" s="97"/>
      <c r="H1010" s="97"/>
      <c r="I1010" s="97"/>
      <c r="J1010" s="97"/>
      <c r="W1010" s="97"/>
    </row>
    <row r="1011" ht="15.75" customHeight="1">
      <c r="D1011" s="97"/>
      <c r="F1011" s="97"/>
      <c r="G1011" s="97"/>
      <c r="H1011" s="97"/>
      <c r="I1011" s="97"/>
      <c r="J1011" s="97"/>
      <c r="W1011" s="97"/>
    </row>
    <row r="1012" ht="15.75" customHeight="1">
      <c r="D1012" s="97"/>
      <c r="F1012" s="97"/>
      <c r="G1012" s="97"/>
      <c r="H1012" s="97"/>
      <c r="I1012" s="97"/>
      <c r="J1012" s="97"/>
      <c r="W1012" s="97"/>
    </row>
    <row r="1013" ht="15.75" customHeight="1">
      <c r="D1013" s="97"/>
      <c r="F1013" s="97"/>
      <c r="G1013" s="97"/>
      <c r="H1013" s="97"/>
      <c r="I1013" s="97"/>
      <c r="J1013" s="97"/>
      <c r="W1013" s="97"/>
    </row>
    <row r="1014" ht="15.75" customHeight="1">
      <c r="D1014" s="97"/>
      <c r="F1014" s="97"/>
      <c r="G1014" s="97"/>
      <c r="H1014" s="97"/>
      <c r="I1014" s="97"/>
      <c r="J1014" s="97"/>
      <c r="W1014" s="97"/>
    </row>
    <row r="1015" ht="15.75" customHeight="1">
      <c r="D1015" s="97"/>
      <c r="F1015" s="97"/>
      <c r="G1015" s="97"/>
      <c r="H1015" s="97"/>
      <c r="I1015" s="97"/>
      <c r="J1015" s="97"/>
      <c r="W1015" s="97"/>
    </row>
    <row r="1016" ht="15.75" customHeight="1">
      <c r="D1016" s="97"/>
      <c r="F1016" s="97"/>
      <c r="G1016" s="97"/>
      <c r="H1016" s="97"/>
      <c r="I1016" s="97"/>
      <c r="J1016" s="97"/>
      <c r="W1016" s="97"/>
    </row>
    <row r="1017" ht="15.75" customHeight="1">
      <c r="D1017" s="97"/>
      <c r="F1017" s="97"/>
      <c r="G1017" s="97"/>
      <c r="H1017" s="97"/>
      <c r="I1017" s="97"/>
      <c r="J1017" s="97"/>
      <c r="W1017" s="97"/>
    </row>
    <row r="1018" ht="15.75" customHeight="1">
      <c r="D1018" s="97"/>
      <c r="F1018" s="97"/>
      <c r="G1018" s="97"/>
      <c r="H1018" s="97"/>
      <c r="I1018" s="97"/>
      <c r="J1018" s="97"/>
      <c r="W1018" s="97"/>
    </row>
    <row r="1019" ht="15.75" customHeight="1">
      <c r="D1019" s="97"/>
      <c r="F1019" s="97"/>
      <c r="G1019" s="97"/>
      <c r="H1019" s="97"/>
      <c r="I1019" s="97"/>
      <c r="J1019" s="97"/>
      <c r="W1019" s="97"/>
    </row>
    <row r="1020" ht="15.75" customHeight="1">
      <c r="D1020" s="97"/>
      <c r="F1020" s="97"/>
      <c r="G1020" s="97"/>
      <c r="H1020" s="97"/>
      <c r="I1020" s="97"/>
      <c r="J1020" s="97"/>
      <c r="W1020" s="97"/>
    </row>
    <row r="1021" ht="15.75" customHeight="1">
      <c r="D1021" s="97"/>
      <c r="F1021" s="97"/>
      <c r="G1021" s="97"/>
      <c r="H1021" s="97"/>
      <c r="I1021" s="97"/>
      <c r="J1021" s="97"/>
      <c r="W1021" s="97"/>
    </row>
    <row r="1022" ht="15.75" customHeight="1">
      <c r="D1022" s="97"/>
      <c r="F1022" s="97"/>
      <c r="G1022" s="97"/>
      <c r="H1022" s="97"/>
      <c r="I1022" s="97"/>
      <c r="J1022" s="97"/>
      <c r="W1022" s="97"/>
    </row>
    <row r="1023" ht="15.75" customHeight="1">
      <c r="D1023" s="97"/>
      <c r="F1023" s="97"/>
      <c r="G1023" s="97"/>
      <c r="H1023" s="97"/>
      <c r="I1023" s="97"/>
      <c r="J1023" s="97"/>
      <c r="W1023" s="97"/>
    </row>
    <row r="1024" ht="15.75" customHeight="1">
      <c r="D1024" s="97"/>
      <c r="F1024" s="97"/>
      <c r="G1024" s="97"/>
      <c r="H1024" s="97"/>
      <c r="I1024" s="97"/>
      <c r="J1024" s="97"/>
      <c r="W1024" s="97"/>
    </row>
    <row r="1025" ht="15.75" customHeight="1">
      <c r="D1025" s="97"/>
      <c r="F1025" s="97"/>
      <c r="G1025" s="97"/>
      <c r="H1025" s="97"/>
      <c r="I1025" s="97"/>
      <c r="J1025" s="97"/>
      <c r="W1025" s="97"/>
    </row>
    <row r="1026" ht="15.75" customHeight="1">
      <c r="D1026" s="97"/>
      <c r="F1026" s="97"/>
      <c r="G1026" s="97"/>
      <c r="H1026" s="97"/>
      <c r="I1026" s="97"/>
      <c r="J1026" s="97"/>
      <c r="W1026" s="97"/>
    </row>
    <row r="1027" ht="15.75" customHeight="1">
      <c r="D1027" s="97"/>
      <c r="F1027" s="97"/>
      <c r="G1027" s="97"/>
      <c r="H1027" s="97"/>
      <c r="I1027" s="97"/>
      <c r="J1027" s="97"/>
      <c r="W1027" s="97"/>
    </row>
    <row r="1028" ht="15.75" customHeight="1">
      <c r="D1028" s="97"/>
      <c r="F1028" s="97"/>
      <c r="G1028" s="97"/>
      <c r="H1028" s="97"/>
      <c r="I1028" s="97"/>
      <c r="J1028" s="97"/>
      <c r="W1028" s="97"/>
    </row>
    <row r="1029" ht="15.75" customHeight="1">
      <c r="D1029" s="97"/>
      <c r="F1029" s="97"/>
      <c r="G1029" s="97"/>
      <c r="H1029" s="97"/>
      <c r="I1029" s="97"/>
      <c r="J1029" s="97"/>
      <c r="W1029" s="97"/>
    </row>
    <row r="1030" ht="15.75" customHeight="1">
      <c r="D1030" s="97"/>
      <c r="F1030" s="97"/>
      <c r="G1030" s="97"/>
      <c r="H1030" s="97"/>
      <c r="I1030" s="97"/>
      <c r="J1030" s="97"/>
      <c r="W1030" s="97"/>
    </row>
    <row r="1031" ht="15.75" customHeight="1">
      <c r="D1031" s="97"/>
      <c r="F1031" s="97"/>
      <c r="G1031" s="97"/>
      <c r="H1031" s="97"/>
      <c r="I1031" s="97"/>
      <c r="J1031" s="97"/>
      <c r="W1031" s="97"/>
    </row>
    <row r="1032" ht="15.75" customHeight="1">
      <c r="D1032" s="97"/>
      <c r="F1032" s="97"/>
      <c r="G1032" s="97"/>
      <c r="H1032" s="97"/>
      <c r="I1032" s="97"/>
      <c r="J1032" s="97"/>
      <c r="W1032" s="97"/>
    </row>
    <row r="1033" ht="15.75" customHeight="1">
      <c r="D1033" s="97"/>
      <c r="F1033" s="97"/>
      <c r="G1033" s="97"/>
      <c r="H1033" s="97"/>
      <c r="I1033" s="97"/>
      <c r="J1033" s="97"/>
      <c r="W1033" s="97"/>
    </row>
    <row r="1034" ht="15.75" customHeight="1">
      <c r="D1034" s="97"/>
      <c r="F1034" s="97"/>
      <c r="G1034" s="97"/>
      <c r="H1034" s="97"/>
      <c r="I1034" s="97"/>
      <c r="J1034" s="97"/>
      <c r="W1034" s="97"/>
    </row>
    <row r="1035" ht="15.75" customHeight="1">
      <c r="D1035" s="97"/>
      <c r="F1035" s="97"/>
      <c r="G1035" s="97"/>
      <c r="H1035" s="97"/>
      <c r="I1035" s="97"/>
      <c r="J1035" s="97"/>
      <c r="W1035" s="97"/>
    </row>
    <row r="1036" ht="15.75" customHeight="1">
      <c r="D1036" s="97"/>
      <c r="F1036" s="97"/>
      <c r="G1036" s="97"/>
      <c r="H1036" s="97"/>
      <c r="I1036" s="97"/>
      <c r="J1036" s="97"/>
      <c r="W1036" s="97"/>
    </row>
    <row r="1037" ht="15.75" customHeight="1">
      <c r="D1037" s="97"/>
      <c r="F1037" s="97"/>
      <c r="G1037" s="97"/>
      <c r="H1037" s="97"/>
      <c r="I1037" s="97"/>
      <c r="J1037" s="97"/>
      <c r="W1037" s="97"/>
    </row>
    <row r="1038" ht="15.75" customHeight="1">
      <c r="D1038" s="97"/>
      <c r="F1038" s="97"/>
      <c r="G1038" s="97"/>
      <c r="H1038" s="97"/>
      <c r="I1038" s="97"/>
      <c r="J1038" s="97"/>
      <c r="W1038" s="97"/>
    </row>
    <row r="1039" ht="15.75" customHeight="1">
      <c r="D1039" s="97"/>
      <c r="F1039" s="97"/>
      <c r="G1039" s="97"/>
      <c r="H1039" s="97"/>
      <c r="I1039" s="97"/>
      <c r="J1039" s="97"/>
      <c r="W1039" s="97"/>
    </row>
    <row r="1040" ht="15.75" customHeight="1">
      <c r="D1040" s="97"/>
      <c r="F1040" s="97"/>
      <c r="G1040" s="97"/>
      <c r="H1040" s="97"/>
      <c r="I1040" s="97"/>
      <c r="J1040" s="97"/>
      <c r="W1040" s="97"/>
    </row>
    <row r="1041" ht="15.75" customHeight="1">
      <c r="D1041" s="97"/>
      <c r="F1041" s="97"/>
      <c r="G1041" s="97"/>
      <c r="H1041" s="97"/>
      <c r="I1041" s="97"/>
      <c r="J1041" s="97"/>
      <c r="W1041" s="97"/>
    </row>
    <row r="1042" ht="15.75" customHeight="1">
      <c r="D1042" s="97"/>
      <c r="F1042" s="97"/>
      <c r="G1042" s="97"/>
      <c r="H1042" s="97"/>
      <c r="I1042" s="97"/>
      <c r="J1042" s="97"/>
      <c r="W1042" s="97"/>
    </row>
    <row r="1043" ht="15.75" customHeight="1">
      <c r="D1043" s="97"/>
      <c r="F1043" s="97"/>
      <c r="G1043" s="97"/>
      <c r="H1043" s="97"/>
      <c r="I1043" s="97"/>
      <c r="J1043" s="97"/>
      <c r="W1043" s="97"/>
    </row>
    <row r="1044" ht="15.75" customHeight="1">
      <c r="D1044" s="97"/>
      <c r="F1044" s="97"/>
      <c r="G1044" s="97"/>
      <c r="H1044" s="97"/>
      <c r="I1044" s="97"/>
      <c r="J1044" s="97"/>
      <c r="W1044" s="97"/>
    </row>
    <row r="1045" ht="15.75" customHeight="1">
      <c r="D1045" s="97"/>
      <c r="F1045" s="97"/>
      <c r="G1045" s="97"/>
      <c r="H1045" s="97"/>
      <c r="I1045" s="97"/>
      <c r="J1045" s="97"/>
      <c r="W1045" s="97"/>
    </row>
    <row r="1046" ht="15.75" customHeight="1">
      <c r="D1046" s="97"/>
      <c r="F1046" s="97"/>
      <c r="G1046" s="97"/>
      <c r="H1046" s="97"/>
      <c r="I1046" s="97"/>
      <c r="J1046" s="97"/>
      <c r="W1046" s="97"/>
    </row>
    <row r="1047" ht="15.75" customHeight="1">
      <c r="D1047" s="97"/>
      <c r="F1047" s="97"/>
      <c r="G1047" s="97"/>
      <c r="H1047" s="97"/>
      <c r="I1047" s="97"/>
      <c r="J1047" s="97"/>
      <c r="W1047" s="97"/>
    </row>
    <row r="1048" ht="15.75" customHeight="1">
      <c r="D1048" s="97"/>
      <c r="F1048" s="97"/>
      <c r="G1048" s="97"/>
      <c r="H1048" s="97"/>
      <c r="I1048" s="97"/>
      <c r="J1048" s="97"/>
      <c r="W1048" s="97"/>
    </row>
    <row r="1049" ht="15.75" customHeight="1">
      <c r="D1049" s="97"/>
      <c r="F1049" s="97"/>
      <c r="G1049" s="97"/>
      <c r="H1049" s="97"/>
      <c r="I1049" s="97"/>
      <c r="J1049" s="97"/>
      <c r="W1049" s="97"/>
    </row>
    <row r="1050" ht="15.75" customHeight="1">
      <c r="D1050" s="97"/>
      <c r="F1050" s="97"/>
      <c r="G1050" s="97"/>
      <c r="H1050" s="97"/>
      <c r="I1050" s="97"/>
      <c r="J1050" s="97"/>
      <c r="W1050" s="97"/>
    </row>
    <row r="1051" ht="15.75" customHeight="1">
      <c r="D1051" s="97"/>
      <c r="F1051" s="97"/>
      <c r="G1051" s="97"/>
      <c r="H1051" s="97"/>
      <c r="I1051" s="97"/>
      <c r="J1051" s="97"/>
      <c r="W1051" s="97"/>
    </row>
    <row r="1052" ht="15.75" customHeight="1">
      <c r="D1052" s="97"/>
      <c r="F1052" s="97"/>
      <c r="G1052" s="97"/>
      <c r="H1052" s="97"/>
      <c r="I1052" s="97"/>
      <c r="J1052" s="97"/>
      <c r="W1052" s="97"/>
    </row>
    <row r="1053" ht="15.75" customHeight="1">
      <c r="D1053" s="97"/>
      <c r="F1053" s="97"/>
      <c r="G1053" s="97"/>
      <c r="H1053" s="97"/>
      <c r="I1053" s="97"/>
      <c r="J1053" s="97"/>
      <c r="W1053" s="97"/>
    </row>
  </sheetData>
  <dataValidations>
    <dataValidation type="list" allowBlank="1" showErrorMessage="1" sqref="O2:O322">
      <formula1>"Mencukupi,Tidak Mencukupi"</formula1>
    </dataValidation>
    <dataValidation type="list" allowBlank="1" sqref="Q2:Q322">
      <formula1>"Pupuk urea,NPK,Pupuk SP-36,KCL,Pupuk Kandang,Pupuk kompos,Tidak ada,Phonska,Mutiara,ZA"</formula1>
    </dataValidation>
    <dataValidation type="list" allowBlank="1" showDropDown="1" showErrorMessage="1" sqref="A2:A322">
      <formula1>"PRD001,PRD002,PRD003,PRD004,PRD005,PRD006,PRD007,PRD008,PRD009,PRD010,PRD011,PRD012,PRD013,PRD014,PRD015,PRD016,PRD017,PRD018,PRD019,PRD020,PRD021,PRD022,PRD023,PRD024,PRD025,PRD026,PRD027,PRD028,PRD029,PRD030,PRD031,PRD032,PRD033,PRD034,PRD035,PRD036,PRD"&amp;"037,PRD038,PRD039,PRD040,PRD041,PRD042,PRD043,PRD044,PRD045,PRD046,PRD047,PRD048,PRD049,PRD050,PRD051,PRD052,PRD053,PRD054,PRD055,PRD056,PRD057,PRD058,PRD059,PRD060,PRD061,PRD062,PRD063,PRD064,PRD065,PRD066,PRD200,PRD201,PRD202,PRD203,PRD204,PRD205,PRD206"&amp;",PRD207,PRD208,PRD209,PRD210,PRD211,PRD212,PRD213,PRD214,PRD215,PRD216,PRD217,PRD218,PRD219,PRD067,PRD068,PRD069,PRD070,PRD071,PRD072,PRD073,PRD074,PRD075,PRD076,PRD077,PRD078,PRD079,PRD080,PRD081,PRD082,PRD083,PRD084,PRD085,PRD086,PRD087,PRD088,PRD089,PR"&amp;"D090,PRD091,PRD092,PRD093,PRD094,PRD095,PRD096,PRD097,PRD098,PRD099,PRD100,PRD101,PRD102,PRD103,PRD104,PRD105,PRD106,PRD107,PRD108,PRD109,PRD110,PRD111,PRD112,PRD113,PRD114,PRD115,PRD116,PRD117,PRD118,PRD119,PRD120,PRD121,PRD122,PRD123,PRD124,PRD125,PRD12"&amp;"6,PRD127,PRD128,PRD129,PRD130,PRD131,PRD132,PRD133,PRD134,PRD135,PRD136,PRD137,PRD138,PRD139,PRD140,PRD141,PRD142,PRD143,PRD144,PRD145,PRD146,PRD147,PRD148,PRD149,PRD150,PRD151,PRD152,PRD153,PRD154,PRD155,PRD156,PRD157,PRD158,PRD159,PRD160,PRD161,PRD162,P"&amp;"RD163,PRD164,PRD165,PRD166,PRD167,PRD168,PRD169,PRD170,PRD171,PRD172,PRD173,PRD174,PRD175,PRD176,PRD177,PRD178,PRD179,PRD180,PRD181,PRD182,PRD183,PRD184,PRD185,PRD186,PRD187,PRD188,PRD189,PRD190,PRD191,PRN192,PRN193,PRN194,PRN195,PRN196,PRN197,PRN198,PRN1"&amp;"99,PRN200,PRN201,PRN202,PRN203,PRN204,PRN205,PRN206,PRN207,PRN208,PRN209,PRN210,PRN211,PRN212,PRN213,PRN214,PRN215,PRN216,PRN217,PRN218,PRN219,PRN220,PRN221,PRN222,PRN223,PRN224,PRN225,PRN226,PRN227,PRN228,PRN229,PRN230,PRN231,PRN232,PRN233,PRN234,PRN235,"&amp;"PRN236,PRN238,PRN240,PRN242,PRN244,PRN246,PRN248,PRN250,PRN251,PRN252,PRN253,PRN254,PRN255,PRN256,PRN257,PRN258,PRN259,PRN260,PRN261,PRN262,PRN263,PRN264,PRN265,PRN266,PRN267,PRN268,PRN269,PRN270,PRN271"</formula1>
    </dataValidation>
    <dataValidation type="list" allowBlank="1" showDropDown="1" showErrorMessage="1" sqref="B2:B322">
      <formula1>"PTN001,PTN002,PTN003,PTN004,PTN005,PTN006,PTN007,PTN008,PTN009,PTN010,PTN011,PTN012,PTN013,PTN016,PTN017,PTN018,PTN019,PTN020,PTN021,PTN022,PTN023,PTN024,PTN025,PTN026,PTN027,PTN028,PTN029,PTN030,PTN031,PTN032,PTN033,PTN034,PTN035,PTN130,PTN131,PTN132,PTN"&amp;"133,PTN134,PTN200,PTN201,PTN202,PTN203,PTN204,PTN205,PTN206,PTN207,PTN208,PTN209,PTN036,PTN037,PTN038,PTN039,PTN040,PTN041,PTN042,PTN043,PTN044,PTN045,PTN046,PTN047,PTN048,PTN049,PTN050,PTN051,PTN052,PTN053,PTN054,PTN055,PTN056,PTN057,PTN058,PTN059,PTN060"&amp;",PTN061,PTN062,PTN063,PTN064,PTN065,PTN066,PTN067,PTN068,PTN069,PTN070,PTN071,PTN072,PTN073,PTN074,PTN075,PTN076,PTN077,PTN078,PTN079,PTN080,PTN081,PTN082,PTN083,PTN084,PTN085,PTN086,PTN087,PTN088,PTN089,PTN090,PTN091,PTN092,PTN093,PTN094,PTN095,PTN096,PT"&amp;"N097,PTN098,PTN099,PTN100,PTN101,PTN102,PTN103,PTN104,PTN105,PTN106,PTN107,PTN108,PTN109,PTN110,PTN111,PTN112,PTN113,PTN114,PTN115,PTN116,PTN117,PTN118,PTN119,PTN120,PTN121,PTN122,PTN123,PTN124,PTN125,PTN126,PTN127,PTN128,PTN129,PTN136,PTN137,PTN138,PTN13"&amp;"9,PTN140,PTN141,PTN142,PTN143,PTN144,PTN145,PTN146,PTN147,PTN148,PTN149,PTN150,PTN151,PTN152,PTN153,PTN154,PTN155,PTN156,PTN157,PTN158,PTN159,PTN160,PTN161,PTN162,PTN163,PTN164,PTN165,PTN166,PTN167,PTN168,PTN169,PTN170,PTN171,PTN172,PTN173,PTN174,PTN175"</formula1>
    </dataValidation>
    <dataValidation type="list" allowBlank="1" showErrorMessage="1" sqref="S2:S322">
      <formula1>"Tikus,Wereng,Tulo/burung pipit,penggerek batang padi,walang sangit,Hama putih ,Belalang,Kepnding,Siput Murbai/Keong"</formula1>
    </dataValidation>
    <dataValidation type="list" allowBlank="1" showErrorMessage="1" sqref="T2:T322">
      <formula1>"Blas,Hawar daun bakteri,Tungro,Bercak daun,Hawar pelepah daun,Busuk batang,TIDAK ADA"</formula1>
    </dataValidation>
    <dataValidation type="list" allowBlank="1" showErrorMessage="1" sqref="P2:P322">
      <formula1>"Ada pemupukan,Tidak ada pemupukan"</formula1>
    </dataValidation>
    <dataValidation type="list" allowBlank="1" showErrorMessage="1" sqref="K2:K322">
      <formula1>"Ya seluruhnya,Ya sebagian,Tidak"</formula1>
    </dataValidation>
    <dataValidation type="list" allowBlank="1" showErrorMessage="1" sqref="L2:L322">
      <formula1>"Milik sendiri,Bagi hasil"</formula1>
    </dataValidation>
    <dataValidation type="list" allowBlank="1" showDropDown="1" showErrorMessage="1" sqref="I2:I322">
      <formula1>"5.000.000,3.000.000,2.000.000,1.000.000,2.500.000,300.000,1.500.000,500.000,800.000,8.000.000,1.600.000,2.200.000,2.700.000,8.500.000,2.300.000,2.150.000,1.100.000,4.000.000,4.200.000,3.800.000,35.000.000,600.000,4.100.000,3.700.00,10.500.000,10.000.000,2"&amp;".900.000,1.300.000,7.000.000,700.000,5.100.000,4.500.000,7.300.000,6.800.000,8.300.000,8.600.000,7.500.000,6500.000,6.000.0000,2.500.0000,11.000.000,3.750.000,10.875.000,3.125.000,3.200.000,6.000.000,3.500.000,4.500.001,1.500.001,9.000.000"</formula1>
    </dataValidation>
    <dataValidation type="list" allowBlank="1" showErrorMessage="1" sqref="C2:C322">
      <formula1>"nov - jan,feb - apr,mei - juli,agt - okt,des - feb"</formula1>
    </dataValidation>
    <dataValidation type="list" allowBlank="1" showErrorMessage="1" sqref="M2:M322">
      <formula1>"1,2,3,4,5"</formula1>
    </dataValidation>
    <dataValidation type="list" allowBlank="1" showErrorMessage="1" sqref="R2:R322 U2:V322">
      <formula1>"Ada,Tidak"</formula1>
    </dataValidation>
    <dataValidation type="list" allowBlank="1" showErrorMessage="1" sqref="N2:N322">
      <formula1>"Sawah irigasi,Sawah tadah hujan,Tegalan/ladang,Kombinasi irigasi dan tadah hujan"</formula1>
    </dataValidation>
    <dataValidation type="custom" allowBlank="1" showDropDown="1" sqref="D2:D322 F2:F322 H2:H322 J2:J322">
      <formula1>AND(ISNUMBER(D2),(NOT(OR(NOT(ISERROR(DATEVALUE(D2))), AND(ISNUMBER(D2), LEFT(CELL("format", D2))="D")))))</formula1>
    </dataValidation>
    <dataValidation type="list" allowBlank="1" showErrorMessage="1" sqref="E2:E322">
      <formula1>"Januari,Juli,April,Oktober,September,November,Desember,Maret,Februari,Agustus,Mei"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3" width="36.14"/>
    <col customWidth="1" min="4" max="4" width="30.14"/>
    <col customWidth="1" min="5" max="5" width="31.57"/>
    <col customWidth="1" min="6" max="6" width="36.14"/>
    <col customWidth="1" min="7" max="7" width="31.57"/>
    <col customWidth="1" min="8" max="8" width="40.0"/>
    <col customWidth="1" min="9" max="9" width="38.57"/>
    <col customWidth="1" min="10" max="10" width="43.57"/>
    <col customWidth="1" min="11" max="11" width="29.43"/>
    <col customWidth="1" min="12" max="12" width="24.29"/>
    <col customWidth="1" min="13" max="13" width="33.57"/>
    <col customWidth="1" min="14" max="14" width="32.86"/>
    <col customWidth="1" min="15" max="15" width="28.29"/>
    <col customWidth="1" min="16" max="16" width="92.71"/>
    <col customWidth="1" min="17" max="17" width="33.86"/>
    <col customWidth="1" min="18" max="18" width="24.0"/>
    <col customWidth="1" min="19" max="19" width="20.86"/>
    <col customWidth="1" min="20" max="20" width="76.0"/>
    <col customWidth="1" min="21" max="27" width="8.71"/>
  </cols>
  <sheetData>
    <row r="1">
      <c r="A1" s="1" t="s">
        <v>0</v>
      </c>
      <c r="B1" s="3" t="s">
        <v>2</v>
      </c>
      <c r="C1" s="1" t="s">
        <v>967</v>
      </c>
      <c r="D1" s="1" t="s">
        <v>968</v>
      </c>
      <c r="E1" s="1" t="s">
        <v>969</v>
      </c>
      <c r="F1" s="1" t="s">
        <v>970</v>
      </c>
      <c r="G1" s="1" t="s">
        <v>971</v>
      </c>
      <c r="H1" s="1" t="s">
        <v>972</v>
      </c>
      <c r="I1" s="1" t="s">
        <v>973</v>
      </c>
      <c r="J1" s="1" t="s">
        <v>974</v>
      </c>
      <c r="K1" s="1" t="s">
        <v>975</v>
      </c>
      <c r="L1" s="1" t="s">
        <v>976</v>
      </c>
      <c r="M1" s="1" t="s">
        <v>977</v>
      </c>
      <c r="N1" s="1" t="s">
        <v>978</v>
      </c>
      <c r="O1" s="1" t="s">
        <v>979</v>
      </c>
      <c r="P1" s="1" t="s">
        <v>980</v>
      </c>
      <c r="Q1" s="1" t="s">
        <v>981</v>
      </c>
      <c r="R1" s="1" t="s">
        <v>982</v>
      </c>
      <c r="S1" s="1" t="s">
        <v>983</v>
      </c>
      <c r="T1" s="1" t="s">
        <v>984</v>
      </c>
    </row>
    <row r="2">
      <c r="A2" s="98" t="s">
        <v>17</v>
      </c>
      <c r="B2" s="98" t="s">
        <v>19</v>
      </c>
      <c r="C2" s="98" t="s">
        <v>985</v>
      </c>
      <c r="D2" s="98" t="s">
        <v>491</v>
      </c>
      <c r="E2" s="98" t="s">
        <v>491</v>
      </c>
      <c r="F2" s="98" t="s">
        <v>985</v>
      </c>
      <c r="G2" s="98" t="s">
        <v>985</v>
      </c>
      <c r="H2" s="98" t="s">
        <v>985</v>
      </c>
      <c r="I2" s="98" t="s">
        <v>491</v>
      </c>
      <c r="J2" s="98" t="s">
        <v>491</v>
      </c>
      <c r="K2" s="98" t="s">
        <v>491</v>
      </c>
      <c r="L2" s="98" t="s">
        <v>985</v>
      </c>
      <c r="M2" s="98" t="s">
        <v>491</v>
      </c>
      <c r="N2" s="98" t="s">
        <v>985</v>
      </c>
      <c r="O2" s="98" t="s">
        <v>985</v>
      </c>
      <c r="P2" s="99" t="s">
        <v>986</v>
      </c>
      <c r="Q2" s="98" t="s">
        <v>985</v>
      </c>
      <c r="R2" s="99" t="s">
        <v>987</v>
      </c>
      <c r="S2" s="98" t="s">
        <v>491</v>
      </c>
      <c r="T2" s="100" t="s">
        <v>988</v>
      </c>
    </row>
    <row r="3">
      <c r="A3" s="98" t="s">
        <v>28</v>
      </c>
      <c r="B3" s="98" t="s">
        <v>19</v>
      </c>
      <c r="C3" s="98" t="s">
        <v>985</v>
      </c>
      <c r="D3" s="98" t="s">
        <v>491</v>
      </c>
      <c r="E3" s="98" t="s">
        <v>985</v>
      </c>
      <c r="F3" s="98" t="s">
        <v>985</v>
      </c>
      <c r="G3" s="98" t="s">
        <v>491</v>
      </c>
      <c r="H3" s="98" t="s">
        <v>985</v>
      </c>
      <c r="I3" s="98" t="s">
        <v>491</v>
      </c>
      <c r="J3" s="98" t="s">
        <v>491</v>
      </c>
      <c r="K3" s="98" t="s">
        <v>491</v>
      </c>
      <c r="L3" s="98" t="s">
        <v>985</v>
      </c>
      <c r="M3" s="98" t="s">
        <v>491</v>
      </c>
      <c r="N3" s="98" t="s">
        <v>985</v>
      </c>
      <c r="O3" s="98" t="s">
        <v>985</v>
      </c>
      <c r="P3" s="99" t="s">
        <v>986</v>
      </c>
      <c r="Q3" s="98" t="s">
        <v>985</v>
      </c>
      <c r="R3" s="99" t="s">
        <v>987</v>
      </c>
      <c r="S3" s="98" t="s">
        <v>491</v>
      </c>
      <c r="T3" s="100" t="s">
        <v>989</v>
      </c>
    </row>
    <row r="4">
      <c r="A4" s="98" t="s">
        <v>33</v>
      </c>
      <c r="B4" s="98" t="s">
        <v>19</v>
      </c>
      <c r="C4" s="98" t="s">
        <v>985</v>
      </c>
      <c r="D4" s="98" t="s">
        <v>491</v>
      </c>
      <c r="E4" s="98" t="s">
        <v>491</v>
      </c>
      <c r="F4" s="98" t="s">
        <v>985</v>
      </c>
      <c r="G4" s="98" t="s">
        <v>491</v>
      </c>
      <c r="H4" s="98" t="s">
        <v>985</v>
      </c>
      <c r="I4" s="98" t="s">
        <v>491</v>
      </c>
      <c r="J4" s="98" t="s">
        <v>985</v>
      </c>
      <c r="K4" s="98" t="s">
        <v>985</v>
      </c>
      <c r="L4" s="98" t="s">
        <v>985</v>
      </c>
      <c r="M4" s="98" t="s">
        <v>985</v>
      </c>
      <c r="N4" s="98" t="s">
        <v>985</v>
      </c>
      <c r="O4" s="98" t="s">
        <v>985</v>
      </c>
      <c r="P4" s="99" t="s">
        <v>990</v>
      </c>
      <c r="Q4" s="98" t="s">
        <v>985</v>
      </c>
      <c r="R4" s="99" t="s">
        <v>987</v>
      </c>
      <c r="S4" s="98" t="s">
        <v>491</v>
      </c>
      <c r="T4" s="100" t="s">
        <v>991</v>
      </c>
    </row>
    <row r="5">
      <c r="A5" s="98" t="s">
        <v>36</v>
      </c>
      <c r="B5" s="98" t="s">
        <v>19</v>
      </c>
      <c r="C5" s="98" t="s">
        <v>985</v>
      </c>
      <c r="D5" s="98" t="s">
        <v>491</v>
      </c>
      <c r="E5" s="98" t="s">
        <v>491</v>
      </c>
      <c r="F5" s="98" t="s">
        <v>985</v>
      </c>
      <c r="G5" s="98" t="s">
        <v>491</v>
      </c>
      <c r="H5" s="98" t="s">
        <v>985</v>
      </c>
      <c r="I5" s="98" t="s">
        <v>491</v>
      </c>
      <c r="J5" s="98" t="s">
        <v>491</v>
      </c>
      <c r="K5" s="98" t="s">
        <v>491</v>
      </c>
      <c r="L5" s="98" t="s">
        <v>985</v>
      </c>
      <c r="M5" s="98" t="s">
        <v>491</v>
      </c>
      <c r="N5" s="98" t="s">
        <v>985</v>
      </c>
      <c r="O5" s="98" t="s">
        <v>985</v>
      </c>
      <c r="P5" s="99" t="s">
        <v>986</v>
      </c>
      <c r="Q5" s="98" t="s">
        <v>985</v>
      </c>
      <c r="R5" s="99" t="s">
        <v>987</v>
      </c>
      <c r="S5" s="98" t="s">
        <v>491</v>
      </c>
      <c r="T5" s="100" t="s">
        <v>991</v>
      </c>
    </row>
    <row r="6">
      <c r="A6" s="98" t="s">
        <v>40</v>
      </c>
      <c r="B6" s="98" t="s">
        <v>19</v>
      </c>
      <c r="C6" s="98" t="s">
        <v>985</v>
      </c>
      <c r="D6" s="98" t="s">
        <v>491</v>
      </c>
      <c r="E6" s="98" t="s">
        <v>491</v>
      </c>
      <c r="F6" s="98" t="s">
        <v>985</v>
      </c>
      <c r="G6" s="98" t="s">
        <v>491</v>
      </c>
      <c r="H6" s="98" t="s">
        <v>985</v>
      </c>
      <c r="I6" s="98" t="s">
        <v>491</v>
      </c>
      <c r="J6" s="98" t="s">
        <v>491</v>
      </c>
      <c r="K6" s="98" t="s">
        <v>491</v>
      </c>
      <c r="L6" s="98" t="s">
        <v>985</v>
      </c>
      <c r="M6" s="98" t="s">
        <v>491</v>
      </c>
      <c r="N6" s="98" t="s">
        <v>985</v>
      </c>
      <c r="O6" s="98" t="s">
        <v>985</v>
      </c>
      <c r="P6" s="99" t="s">
        <v>986</v>
      </c>
      <c r="Q6" s="98" t="s">
        <v>985</v>
      </c>
      <c r="R6" s="99" t="s">
        <v>987</v>
      </c>
      <c r="S6" s="98" t="s">
        <v>491</v>
      </c>
      <c r="T6" s="100" t="s">
        <v>992</v>
      </c>
    </row>
    <row r="7">
      <c r="A7" s="98" t="s">
        <v>42</v>
      </c>
      <c r="B7" s="98" t="s">
        <v>19</v>
      </c>
      <c r="C7" s="98" t="s">
        <v>985</v>
      </c>
      <c r="D7" s="98" t="s">
        <v>491</v>
      </c>
      <c r="E7" s="98" t="s">
        <v>985</v>
      </c>
      <c r="F7" s="98" t="s">
        <v>491</v>
      </c>
      <c r="G7" s="98" t="s">
        <v>985</v>
      </c>
      <c r="H7" s="98" t="s">
        <v>985</v>
      </c>
      <c r="I7" s="98" t="s">
        <v>491</v>
      </c>
      <c r="J7" s="98" t="s">
        <v>491</v>
      </c>
      <c r="K7" s="98" t="s">
        <v>985</v>
      </c>
      <c r="L7" s="98" t="s">
        <v>985</v>
      </c>
      <c r="M7" s="98" t="s">
        <v>491</v>
      </c>
      <c r="N7" s="98" t="s">
        <v>985</v>
      </c>
      <c r="O7" s="98" t="s">
        <v>985</v>
      </c>
      <c r="P7" s="99" t="s">
        <v>993</v>
      </c>
      <c r="Q7" s="98" t="s">
        <v>985</v>
      </c>
      <c r="R7" s="99" t="s">
        <v>987</v>
      </c>
      <c r="S7" s="98" t="s">
        <v>491</v>
      </c>
      <c r="T7" s="100" t="s">
        <v>991</v>
      </c>
    </row>
    <row r="8">
      <c r="A8" s="98" t="s">
        <v>45</v>
      </c>
      <c r="B8" s="98" t="s">
        <v>19</v>
      </c>
      <c r="C8" s="98" t="s">
        <v>985</v>
      </c>
      <c r="D8" s="98" t="s">
        <v>491</v>
      </c>
      <c r="E8" s="98" t="s">
        <v>985</v>
      </c>
      <c r="F8" s="98" t="s">
        <v>985</v>
      </c>
      <c r="G8" s="98" t="s">
        <v>985</v>
      </c>
      <c r="H8" s="98" t="s">
        <v>985</v>
      </c>
      <c r="I8" s="98" t="s">
        <v>491</v>
      </c>
      <c r="J8" s="98" t="s">
        <v>491</v>
      </c>
      <c r="K8" s="98" t="s">
        <v>985</v>
      </c>
      <c r="L8" s="98" t="s">
        <v>985</v>
      </c>
      <c r="M8" s="98" t="s">
        <v>491</v>
      </c>
      <c r="N8" s="98" t="s">
        <v>985</v>
      </c>
      <c r="O8" s="98" t="s">
        <v>985</v>
      </c>
      <c r="P8" s="99" t="s">
        <v>994</v>
      </c>
      <c r="Q8" s="98" t="s">
        <v>985</v>
      </c>
      <c r="R8" s="99" t="s">
        <v>987</v>
      </c>
      <c r="S8" s="98" t="s">
        <v>491</v>
      </c>
      <c r="T8" s="100" t="s">
        <v>995</v>
      </c>
    </row>
    <row r="9">
      <c r="A9" s="98" t="s">
        <v>48</v>
      </c>
      <c r="B9" s="98" t="s">
        <v>19</v>
      </c>
      <c r="C9" s="98" t="s">
        <v>985</v>
      </c>
      <c r="D9" s="98" t="s">
        <v>491</v>
      </c>
      <c r="E9" s="98" t="s">
        <v>985</v>
      </c>
      <c r="F9" s="98" t="s">
        <v>491</v>
      </c>
      <c r="G9" s="98" t="s">
        <v>985</v>
      </c>
      <c r="H9" s="98" t="s">
        <v>985</v>
      </c>
      <c r="I9" s="98" t="s">
        <v>491</v>
      </c>
      <c r="J9" s="98" t="s">
        <v>491</v>
      </c>
      <c r="K9" s="98" t="s">
        <v>491</v>
      </c>
      <c r="L9" s="98" t="s">
        <v>985</v>
      </c>
      <c r="M9" s="98" t="s">
        <v>985</v>
      </c>
      <c r="N9" s="98" t="s">
        <v>985</v>
      </c>
      <c r="O9" s="98" t="s">
        <v>985</v>
      </c>
      <c r="P9" s="99" t="s">
        <v>994</v>
      </c>
      <c r="Q9" s="98" t="s">
        <v>985</v>
      </c>
      <c r="R9" s="99" t="s">
        <v>996</v>
      </c>
      <c r="S9" s="98" t="s">
        <v>491</v>
      </c>
      <c r="T9" s="100" t="s">
        <v>995</v>
      </c>
    </row>
    <row r="10">
      <c r="A10" s="98" t="s">
        <v>50</v>
      </c>
      <c r="B10" s="98" t="s">
        <v>19</v>
      </c>
      <c r="C10" s="98" t="s">
        <v>985</v>
      </c>
      <c r="D10" s="98" t="s">
        <v>491</v>
      </c>
      <c r="E10" s="98" t="s">
        <v>985</v>
      </c>
      <c r="F10" s="98" t="s">
        <v>491</v>
      </c>
      <c r="G10" s="98" t="s">
        <v>985</v>
      </c>
      <c r="H10" s="98" t="s">
        <v>985</v>
      </c>
      <c r="I10" s="98" t="s">
        <v>491</v>
      </c>
      <c r="J10" s="98" t="s">
        <v>491</v>
      </c>
      <c r="K10" s="98" t="s">
        <v>985</v>
      </c>
      <c r="L10" s="98" t="s">
        <v>985</v>
      </c>
      <c r="M10" s="98" t="s">
        <v>491</v>
      </c>
      <c r="N10" s="98" t="s">
        <v>985</v>
      </c>
      <c r="O10" s="98" t="s">
        <v>985</v>
      </c>
      <c r="P10" s="99" t="s">
        <v>993</v>
      </c>
      <c r="Q10" s="98" t="s">
        <v>985</v>
      </c>
      <c r="R10" s="99" t="s">
        <v>997</v>
      </c>
      <c r="S10" s="98" t="s">
        <v>491</v>
      </c>
      <c r="T10" s="100" t="s">
        <v>998</v>
      </c>
    </row>
    <row r="11">
      <c r="A11" s="98" t="s">
        <v>52</v>
      </c>
      <c r="B11" s="98" t="s">
        <v>19</v>
      </c>
      <c r="C11" s="98" t="s">
        <v>985</v>
      </c>
      <c r="D11" s="98" t="s">
        <v>491</v>
      </c>
      <c r="E11" s="98" t="s">
        <v>985</v>
      </c>
      <c r="F11" s="98" t="s">
        <v>491</v>
      </c>
      <c r="G11" s="98" t="s">
        <v>985</v>
      </c>
      <c r="H11" s="98" t="s">
        <v>985</v>
      </c>
      <c r="I11" s="98" t="s">
        <v>491</v>
      </c>
      <c r="J11" s="98" t="s">
        <v>491</v>
      </c>
      <c r="K11" s="98" t="s">
        <v>985</v>
      </c>
      <c r="L11" s="98" t="s">
        <v>985</v>
      </c>
      <c r="M11" s="98" t="s">
        <v>985</v>
      </c>
      <c r="N11" s="98" t="s">
        <v>985</v>
      </c>
      <c r="O11" s="98" t="s">
        <v>985</v>
      </c>
      <c r="P11" s="99" t="s">
        <v>999</v>
      </c>
      <c r="Q11" s="98" t="s">
        <v>985</v>
      </c>
      <c r="R11" s="99" t="s">
        <v>987</v>
      </c>
      <c r="S11" s="98" t="s">
        <v>491</v>
      </c>
      <c r="T11" s="100" t="s">
        <v>1000</v>
      </c>
    </row>
    <row r="12">
      <c r="A12" s="98" t="s">
        <v>54</v>
      </c>
      <c r="B12" s="98" t="s">
        <v>19</v>
      </c>
      <c r="C12" s="98" t="s">
        <v>985</v>
      </c>
      <c r="D12" s="98" t="s">
        <v>985</v>
      </c>
      <c r="E12" s="98" t="s">
        <v>491</v>
      </c>
      <c r="F12" s="98" t="s">
        <v>491</v>
      </c>
      <c r="G12" s="98" t="s">
        <v>491</v>
      </c>
      <c r="H12" s="98" t="s">
        <v>985</v>
      </c>
      <c r="I12" s="98" t="s">
        <v>491</v>
      </c>
      <c r="J12" s="98" t="s">
        <v>985</v>
      </c>
      <c r="K12" s="98" t="s">
        <v>985</v>
      </c>
      <c r="L12" s="98" t="s">
        <v>985</v>
      </c>
      <c r="M12" s="98" t="s">
        <v>491</v>
      </c>
      <c r="N12" s="98" t="s">
        <v>985</v>
      </c>
      <c r="O12" s="98" t="s">
        <v>985</v>
      </c>
      <c r="P12" s="99" t="s">
        <v>1001</v>
      </c>
      <c r="Q12" s="98" t="s">
        <v>491</v>
      </c>
      <c r="R12" s="101"/>
      <c r="S12" s="98" t="s">
        <v>491</v>
      </c>
      <c r="T12" s="100" t="s">
        <v>691</v>
      </c>
    </row>
    <row r="13">
      <c r="A13" s="98" t="s">
        <v>59</v>
      </c>
      <c r="B13" s="98" t="s">
        <v>19</v>
      </c>
      <c r="C13" s="98" t="s">
        <v>985</v>
      </c>
      <c r="D13" s="98" t="s">
        <v>491</v>
      </c>
      <c r="E13" s="98" t="s">
        <v>491</v>
      </c>
      <c r="F13" s="98" t="s">
        <v>491</v>
      </c>
      <c r="G13" s="98" t="s">
        <v>985</v>
      </c>
      <c r="H13" s="98" t="s">
        <v>985</v>
      </c>
      <c r="I13" s="98" t="s">
        <v>491</v>
      </c>
      <c r="J13" s="98" t="s">
        <v>985</v>
      </c>
      <c r="K13" s="98" t="s">
        <v>985</v>
      </c>
      <c r="L13" s="98" t="s">
        <v>985</v>
      </c>
      <c r="M13" s="98" t="s">
        <v>985</v>
      </c>
      <c r="N13" s="98" t="s">
        <v>985</v>
      </c>
      <c r="O13" s="98" t="s">
        <v>985</v>
      </c>
      <c r="P13" s="99" t="s">
        <v>1002</v>
      </c>
      <c r="Q13" s="98" t="s">
        <v>985</v>
      </c>
      <c r="R13" s="99" t="s">
        <v>987</v>
      </c>
      <c r="S13" s="98" t="s">
        <v>491</v>
      </c>
      <c r="T13" s="100" t="s">
        <v>691</v>
      </c>
    </row>
    <row r="14">
      <c r="A14" s="98" t="s">
        <v>61</v>
      </c>
      <c r="B14" s="98" t="s">
        <v>19</v>
      </c>
      <c r="C14" s="98" t="s">
        <v>985</v>
      </c>
      <c r="D14" s="98" t="s">
        <v>985</v>
      </c>
      <c r="E14" s="98" t="s">
        <v>985</v>
      </c>
      <c r="F14" s="98" t="s">
        <v>491</v>
      </c>
      <c r="G14" s="98" t="s">
        <v>985</v>
      </c>
      <c r="H14" s="98" t="s">
        <v>985</v>
      </c>
      <c r="I14" s="98" t="s">
        <v>491</v>
      </c>
      <c r="J14" s="98" t="s">
        <v>985</v>
      </c>
      <c r="K14" s="98" t="s">
        <v>985</v>
      </c>
      <c r="L14" s="98" t="s">
        <v>985</v>
      </c>
      <c r="M14" s="98" t="s">
        <v>985</v>
      </c>
      <c r="N14" s="98" t="s">
        <v>985</v>
      </c>
      <c r="O14" s="98" t="s">
        <v>985</v>
      </c>
      <c r="P14" s="99" t="s">
        <v>999</v>
      </c>
      <c r="Q14" s="98" t="s">
        <v>985</v>
      </c>
      <c r="R14" s="99" t="s">
        <v>987</v>
      </c>
      <c r="S14" s="98" t="s">
        <v>491</v>
      </c>
      <c r="T14" s="100" t="s">
        <v>1003</v>
      </c>
    </row>
    <row r="15">
      <c r="A15" s="98" t="s">
        <v>64</v>
      </c>
      <c r="B15" s="98" t="s">
        <v>19</v>
      </c>
      <c r="C15" s="98" t="s">
        <v>985</v>
      </c>
      <c r="D15" s="98" t="s">
        <v>491</v>
      </c>
      <c r="E15" s="98" t="s">
        <v>491</v>
      </c>
      <c r="F15" s="98" t="s">
        <v>491</v>
      </c>
      <c r="G15" s="98" t="s">
        <v>985</v>
      </c>
      <c r="H15" s="98" t="s">
        <v>985</v>
      </c>
      <c r="I15" s="98" t="s">
        <v>985</v>
      </c>
      <c r="J15" s="98" t="s">
        <v>985</v>
      </c>
      <c r="K15" s="98" t="s">
        <v>985</v>
      </c>
      <c r="L15" s="98" t="s">
        <v>985</v>
      </c>
      <c r="M15" s="98" t="s">
        <v>491</v>
      </c>
      <c r="N15" s="98" t="s">
        <v>491</v>
      </c>
      <c r="O15" s="98" t="s">
        <v>491</v>
      </c>
      <c r="P15" s="99" t="s">
        <v>1004</v>
      </c>
      <c r="Q15" s="98" t="s">
        <v>985</v>
      </c>
      <c r="R15" s="99" t="s">
        <v>987</v>
      </c>
      <c r="S15" s="98" t="s">
        <v>491</v>
      </c>
      <c r="T15" s="100" t="s">
        <v>1005</v>
      </c>
    </row>
    <row r="16">
      <c r="A16" s="98" t="s">
        <v>66</v>
      </c>
      <c r="B16" s="98" t="s">
        <v>19</v>
      </c>
      <c r="C16" s="98" t="s">
        <v>985</v>
      </c>
      <c r="D16" s="98" t="s">
        <v>491</v>
      </c>
      <c r="E16" s="98" t="s">
        <v>491</v>
      </c>
      <c r="F16" s="98" t="s">
        <v>491</v>
      </c>
      <c r="G16" s="98" t="s">
        <v>985</v>
      </c>
      <c r="H16" s="98" t="s">
        <v>491</v>
      </c>
      <c r="I16" s="98" t="s">
        <v>985</v>
      </c>
      <c r="J16" s="98" t="s">
        <v>985</v>
      </c>
      <c r="K16" s="98" t="s">
        <v>985</v>
      </c>
      <c r="L16" s="98" t="s">
        <v>985</v>
      </c>
      <c r="M16" s="98" t="s">
        <v>491</v>
      </c>
      <c r="N16" s="98" t="s">
        <v>491</v>
      </c>
      <c r="O16" s="98" t="s">
        <v>491</v>
      </c>
      <c r="P16" s="99" t="s">
        <v>993</v>
      </c>
      <c r="Q16" s="98" t="s">
        <v>985</v>
      </c>
      <c r="R16" s="99" t="s">
        <v>987</v>
      </c>
      <c r="S16" s="98" t="s">
        <v>491</v>
      </c>
      <c r="T16" s="100" t="s">
        <v>1006</v>
      </c>
    </row>
    <row r="17">
      <c r="A17" s="98" t="s">
        <v>68</v>
      </c>
      <c r="B17" s="98" t="s">
        <v>19</v>
      </c>
      <c r="C17" s="98" t="s">
        <v>985</v>
      </c>
      <c r="D17" s="98" t="s">
        <v>491</v>
      </c>
      <c r="E17" s="98" t="s">
        <v>491</v>
      </c>
      <c r="F17" s="98" t="s">
        <v>491</v>
      </c>
      <c r="G17" s="98" t="s">
        <v>985</v>
      </c>
      <c r="H17" s="98" t="s">
        <v>985</v>
      </c>
      <c r="I17" s="98" t="s">
        <v>985</v>
      </c>
      <c r="J17" s="98" t="s">
        <v>985</v>
      </c>
      <c r="K17" s="98" t="s">
        <v>985</v>
      </c>
      <c r="L17" s="98" t="s">
        <v>985</v>
      </c>
      <c r="M17" s="98" t="s">
        <v>491</v>
      </c>
      <c r="N17" s="98" t="s">
        <v>491</v>
      </c>
      <c r="O17" s="98" t="s">
        <v>491</v>
      </c>
      <c r="P17" s="99" t="s">
        <v>994</v>
      </c>
      <c r="Q17" s="98" t="s">
        <v>985</v>
      </c>
      <c r="R17" s="99" t="s">
        <v>987</v>
      </c>
      <c r="S17" s="98" t="s">
        <v>491</v>
      </c>
      <c r="T17" s="100" t="s">
        <v>1007</v>
      </c>
    </row>
    <row r="18">
      <c r="A18" s="98" t="s">
        <v>70</v>
      </c>
      <c r="B18" s="98" t="s">
        <v>19</v>
      </c>
      <c r="C18" s="98" t="s">
        <v>985</v>
      </c>
      <c r="D18" s="98" t="s">
        <v>985</v>
      </c>
      <c r="E18" s="98" t="s">
        <v>491</v>
      </c>
      <c r="F18" s="98" t="s">
        <v>491</v>
      </c>
      <c r="G18" s="98" t="s">
        <v>985</v>
      </c>
      <c r="H18" s="98" t="s">
        <v>985</v>
      </c>
      <c r="I18" s="98" t="s">
        <v>985</v>
      </c>
      <c r="J18" s="98" t="s">
        <v>985</v>
      </c>
      <c r="K18" s="98" t="s">
        <v>985</v>
      </c>
      <c r="L18" s="98" t="s">
        <v>985</v>
      </c>
      <c r="M18" s="98" t="s">
        <v>985</v>
      </c>
      <c r="N18" s="98" t="s">
        <v>985</v>
      </c>
      <c r="O18" s="98" t="s">
        <v>985</v>
      </c>
      <c r="P18" s="99" t="s">
        <v>1004</v>
      </c>
      <c r="Q18" s="98" t="s">
        <v>985</v>
      </c>
      <c r="R18" s="99" t="s">
        <v>987</v>
      </c>
      <c r="S18" s="98" t="s">
        <v>491</v>
      </c>
      <c r="T18" s="100" t="s">
        <v>1007</v>
      </c>
    </row>
    <row r="19">
      <c r="A19" s="98" t="s">
        <v>72</v>
      </c>
      <c r="B19" s="98" t="s">
        <v>19</v>
      </c>
      <c r="C19" s="98" t="s">
        <v>985</v>
      </c>
      <c r="D19" s="98" t="s">
        <v>491</v>
      </c>
      <c r="E19" s="98" t="s">
        <v>985</v>
      </c>
      <c r="F19" s="98" t="s">
        <v>985</v>
      </c>
      <c r="G19" s="98" t="s">
        <v>491</v>
      </c>
      <c r="H19" s="98" t="s">
        <v>985</v>
      </c>
      <c r="I19" s="98" t="s">
        <v>491</v>
      </c>
      <c r="J19" s="98" t="s">
        <v>985</v>
      </c>
      <c r="K19" s="98" t="s">
        <v>985</v>
      </c>
      <c r="L19" s="98" t="s">
        <v>985</v>
      </c>
      <c r="M19" s="98" t="s">
        <v>985</v>
      </c>
      <c r="N19" s="98" t="s">
        <v>985</v>
      </c>
      <c r="O19" s="98" t="s">
        <v>985</v>
      </c>
      <c r="P19" s="99" t="s">
        <v>1008</v>
      </c>
      <c r="Q19" s="98" t="s">
        <v>985</v>
      </c>
      <c r="R19" s="99" t="s">
        <v>987</v>
      </c>
      <c r="S19" s="98" t="s">
        <v>491</v>
      </c>
      <c r="T19" s="100" t="s">
        <v>1009</v>
      </c>
    </row>
    <row r="20">
      <c r="A20" s="98" t="s">
        <v>74</v>
      </c>
      <c r="B20" s="98" t="s">
        <v>19</v>
      </c>
      <c r="C20" s="98" t="s">
        <v>985</v>
      </c>
      <c r="D20" s="98" t="s">
        <v>491</v>
      </c>
      <c r="E20" s="98" t="s">
        <v>491</v>
      </c>
      <c r="F20" s="98" t="s">
        <v>491</v>
      </c>
      <c r="G20" s="98" t="s">
        <v>985</v>
      </c>
      <c r="H20" s="98" t="s">
        <v>985</v>
      </c>
      <c r="I20" s="98" t="s">
        <v>491</v>
      </c>
      <c r="J20" s="98" t="s">
        <v>985</v>
      </c>
      <c r="K20" s="98" t="s">
        <v>985</v>
      </c>
      <c r="L20" s="98" t="s">
        <v>985</v>
      </c>
      <c r="M20" s="98" t="s">
        <v>985</v>
      </c>
      <c r="N20" s="98" t="s">
        <v>985</v>
      </c>
      <c r="O20" s="98" t="s">
        <v>985</v>
      </c>
      <c r="P20" s="99" t="s">
        <v>999</v>
      </c>
      <c r="Q20" s="98" t="s">
        <v>985</v>
      </c>
      <c r="R20" s="99" t="s">
        <v>987</v>
      </c>
      <c r="S20" s="98" t="s">
        <v>491</v>
      </c>
      <c r="T20" s="100" t="s">
        <v>1009</v>
      </c>
    </row>
    <row r="21" ht="15.75" customHeight="1">
      <c r="A21" s="98" t="s">
        <v>77</v>
      </c>
      <c r="B21" s="98" t="s">
        <v>19</v>
      </c>
      <c r="C21" s="98" t="s">
        <v>985</v>
      </c>
      <c r="D21" s="98" t="s">
        <v>491</v>
      </c>
      <c r="E21" s="98" t="s">
        <v>985</v>
      </c>
      <c r="F21" s="98" t="s">
        <v>491</v>
      </c>
      <c r="G21" s="98" t="s">
        <v>985</v>
      </c>
      <c r="H21" s="98" t="s">
        <v>985</v>
      </c>
      <c r="I21" s="98" t="s">
        <v>491</v>
      </c>
      <c r="J21" s="98" t="s">
        <v>985</v>
      </c>
      <c r="K21" s="98" t="s">
        <v>985</v>
      </c>
      <c r="L21" s="98" t="s">
        <v>985</v>
      </c>
      <c r="M21" s="98" t="s">
        <v>985</v>
      </c>
      <c r="N21" s="98" t="s">
        <v>985</v>
      </c>
      <c r="O21" s="98" t="s">
        <v>985</v>
      </c>
      <c r="P21" s="99" t="s">
        <v>999</v>
      </c>
      <c r="Q21" s="98" t="s">
        <v>985</v>
      </c>
      <c r="R21" s="99" t="s">
        <v>987</v>
      </c>
      <c r="S21" s="98" t="s">
        <v>491</v>
      </c>
      <c r="T21" s="100" t="s">
        <v>1009</v>
      </c>
    </row>
    <row r="22" ht="15.75" customHeight="1">
      <c r="A22" s="98" t="s">
        <v>80</v>
      </c>
      <c r="B22" s="98" t="s">
        <v>19</v>
      </c>
      <c r="C22" s="98" t="s">
        <v>985</v>
      </c>
      <c r="D22" s="98" t="s">
        <v>491</v>
      </c>
      <c r="E22" s="98" t="s">
        <v>491</v>
      </c>
      <c r="F22" s="98" t="s">
        <v>491</v>
      </c>
      <c r="G22" s="98" t="s">
        <v>985</v>
      </c>
      <c r="H22" s="98" t="s">
        <v>985</v>
      </c>
      <c r="I22" s="98" t="s">
        <v>985</v>
      </c>
      <c r="J22" s="98" t="s">
        <v>491</v>
      </c>
      <c r="K22" s="98" t="s">
        <v>985</v>
      </c>
      <c r="L22" s="98" t="s">
        <v>985</v>
      </c>
      <c r="M22" s="98" t="s">
        <v>985</v>
      </c>
      <c r="N22" s="98" t="s">
        <v>491</v>
      </c>
      <c r="O22" s="98" t="s">
        <v>491</v>
      </c>
      <c r="P22" s="99" t="s">
        <v>994</v>
      </c>
      <c r="Q22" s="98" t="s">
        <v>985</v>
      </c>
      <c r="R22" s="99" t="s">
        <v>1010</v>
      </c>
      <c r="S22" s="98" t="s">
        <v>491</v>
      </c>
      <c r="T22" s="102"/>
    </row>
    <row r="23" ht="15.75" customHeight="1">
      <c r="A23" s="98" t="s">
        <v>85</v>
      </c>
      <c r="B23" s="98" t="s">
        <v>19</v>
      </c>
      <c r="C23" s="98" t="s">
        <v>985</v>
      </c>
      <c r="D23" s="98" t="s">
        <v>491</v>
      </c>
      <c r="E23" s="98" t="s">
        <v>491</v>
      </c>
      <c r="F23" s="98" t="s">
        <v>491</v>
      </c>
      <c r="G23" s="98" t="s">
        <v>985</v>
      </c>
      <c r="H23" s="98" t="s">
        <v>985</v>
      </c>
      <c r="I23" s="98" t="s">
        <v>491</v>
      </c>
      <c r="J23" s="98" t="s">
        <v>491</v>
      </c>
      <c r="K23" s="98" t="s">
        <v>985</v>
      </c>
      <c r="L23" s="98" t="s">
        <v>985</v>
      </c>
      <c r="M23" s="98" t="s">
        <v>985</v>
      </c>
      <c r="N23" s="98" t="s">
        <v>491</v>
      </c>
      <c r="O23" s="98" t="s">
        <v>491</v>
      </c>
      <c r="P23" s="99" t="s">
        <v>994</v>
      </c>
      <c r="Q23" s="98" t="s">
        <v>491</v>
      </c>
      <c r="R23" s="99" t="s">
        <v>1010</v>
      </c>
      <c r="S23" s="98" t="s">
        <v>491</v>
      </c>
      <c r="T23" s="102"/>
    </row>
    <row r="24" ht="15.75" customHeight="1">
      <c r="A24" s="98" t="s">
        <v>87</v>
      </c>
      <c r="B24" s="98" t="s">
        <v>19</v>
      </c>
      <c r="C24" s="98" t="s">
        <v>985</v>
      </c>
      <c r="D24" s="98" t="s">
        <v>491</v>
      </c>
      <c r="E24" s="98" t="s">
        <v>491</v>
      </c>
      <c r="F24" s="98" t="s">
        <v>491</v>
      </c>
      <c r="G24" s="98" t="s">
        <v>985</v>
      </c>
      <c r="H24" s="98" t="s">
        <v>985</v>
      </c>
      <c r="I24" s="98" t="s">
        <v>491</v>
      </c>
      <c r="J24" s="98" t="s">
        <v>491</v>
      </c>
      <c r="K24" s="98" t="s">
        <v>985</v>
      </c>
      <c r="L24" s="98" t="s">
        <v>985</v>
      </c>
      <c r="M24" s="98" t="s">
        <v>985</v>
      </c>
      <c r="N24" s="98" t="s">
        <v>491</v>
      </c>
      <c r="O24" s="98" t="s">
        <v>491</v>
      </c>
      <c r="P24" s="99" t="s">
        <v>994</v>
      </c>
      <c r="Q24" s="98" t="s">
        <v>491</v>
      </c>
      <c r="R24" s="99" t="s">
        <v>1010</v>
      </c>
      <c r="S24" s="98" t="s">
        <v>491</v>
      </c>
      <c r="T24" s="102"/>
    </row>
    <row r="25" ht="15.75" customHeight="1">
      <c r="A25" s="98" t="s">
        <v>91</v>
      </c>
      <c r="B25" s="98" t="s">
        <v>19</v>
      </c>
      <c r="C25" s="98" t="s">
        <v>985</v>
      </c>
      <c r="D25" s="98" t="s">
        <v>491</v>
      </c>
      <c r="E25" s="98" t="s">
        <v>491</v>
      </c>
      <c r="F25" s="98" t="s">
        <v>491</v>
      </c>
      <c r="G25" s="98" t="s">
        <v>985</v>
      </c>
      <c r="H25" s="98" t="s">
        <v>985</v>
      </c>
      <c r="I25" s="98" t="s">
        <v>491</v>
      </c>
      <c r="J25" s="98" t="s">
        <v>491</v>
      </c>
      <c r="K25" s="98" t="s">
        <v>491</v>
      </c>
      <c r="L25" s="98" t="s">
        <v>491</v>
      </c>
      <c r="M25" s="98" t="s">
        <v>491</v>
      </c>
      <c r="N25" s="98" t="s">
        <v>491</v>
      </c>
      <c r="O25" s="98" t="s">
        <v>491</v>
      </c>
      <c r="P25" s="99" t="s">
        <v>1011</v>
      </c>
      <c r="Q25" s="98" t="s">
        <v>491</v>
      </c>
      <c r="R25" s="99" t="s">
        <v>1010</v>
      </c>
      <c r="S25" s="98" t="s">
        <v>985</v>
      </c>
      <c r="T25" s="102"/>
    </row>
    <row r="26" ht="15.75" customHeight="1">
      <c r="A26" s="98" t="s">
        <v>93</v>
      </c>
      <c r="B26" s="98" t="s">
        <v>19</v>
      </c>
      <c r="C26" s="98" t="s">
        <v>985</v>
      </c>
      <c r="D26" s="98" t="s">
        <v>491</v>
      </c>
      <c r="E26" s="98" t="s">
        <v>491</v>
      </c>
      <c r="F26" s="98" t="s">
        <v>491</v>
      </c>
      <c r="G26" s="98" t="s">
        <v>985</v>
      </c>
      <c r="H26" s="98" t="s">
        <v>985</v>
      </c>
      <c r="I26" s="98" t="s">
        <v>491</v>
      </c>
      <c r="J26" s="98" t="s">
        <v>491</v>
      </c>
      <c r="K26" s="98" t="s">
        <v>491</v>
      </c>
      <c r="L26" s="98" t="s">
        <v>491</v>
      </c>
      <c r="M26" s="98" t="s">
        <v>491</v>
      </c>
      <c r="N26" s="98" t="s">
        <v>491</v>
      </c>
      <c r="O26" s="98" t="s">
        <v>491</v>
      </c>
      <c r="P26" s="99" t="s">
        <v>1011</v>
      </c>
      <c r="Q26" s="98" t="s">
        <v>491</v>
      </c>
      <c r="R26" s="99" t="s">
        <v>1010</v>
      </c>
      <c r="S26" s="98" t="s">
        <v>491</v>
      </c>
      <c r="T26" s="102"/>
    </row>
    <row r="27" ht="15.75" customHeight="1">
      <c r="A27" s="98" t="s">
        <v>96</v>
      </c>
      <c r="B27" s="98" t="s">
        <v>19</v>
      </c>
      <c r="C27" s="98" t="s">
        <v>985</v>
      </c>
      <c r="D27" s="98" t="s">
        <v>491</v>
      </c>
      <c r="E27" s="98" t="s">
        <v>491</v>
      </c>
      <c r="F27" s="98" t="s">
        <v>491</v>
      </c>
      <c r="G27" s="98" t="s">
        <v>985</v>
      </c>
      <c r="H27" s="98" t="s">
        <v>985</v>
      </c>
      <c r="I27" s="98" t="s">
        <v>491</v>
      </c>
      <c r="J27" s="98" t="s">
        <v>985</v>
      </c>
      <c r="K27" s="98" t="s">
        <v>985</v>
      </c>
      <c r="L27" s="98" t="s">
        <v>985</v>
      </c>
      <c r="M27" s="98" t="s">
        <v>491</v>
      </c>
      <c r="N27" s="98" t="s">
        <v>491</v>
      </c>
      <c r="O27" s="98" t="s">
        <v>491</v>
      </c>
      <c r="P27" s="99" t="s">
        <v>994</v>
      </c>
      <c r="Q27" s="98" t="s">
        <v>491</v>
      </c>
      <c r="R27" s="99" t="s">
        <v>1010</v>
      </c>
      <c r="S27" s="98" t="s">
        <v>491</v>
      </c>
      <c r="T27" s="102"/>
    </row>
    <row r="28" ht="15.75" customHeight="1">
      <c r="A28" s="98" t="s">
        <v>98</v>
      </c>
      <c r="B28" s="98" t="s">
        <v>19</v>
      </c>
      <c r="C28" s="98" t="s">
        <v>985</v>
      </c>
      <c r="D28" s="98" t="s">
        <v>491</v>
      </c>
      <c r="E28" s="98" t="s">
        <v>491</v>
      </c>
      <c r="F28" s="98" t="s">
        <v>491</v>
      </c>
      <c r="G28" s="98" t="s">
        <v>985</v>
      </c>
      <c r="H28" s="98" t="s">
        <v>985</v>
      </c>
      <c r="I28" s="98" t="s">
        <v>491</v>
      </c>
      <c r="J28" s="98" t="s">
        <v>491</v>
      </c>
      <c r="K28" s="98" t="s">
        <v>985</v>
      </c>
      <c r="L28" s="98" t="s">
        <v>491</v>
      </c>
      <c r="M28" s="98" t="s">
        <v>491</v>
      </c>
      <c r="N28" s="98" t="s">
        <v>985</v>
      </c>
      <c r="O28" s="98" t="s">
        <v>985</v>
      </c>
      <c r="P28" s="99" t="s">
        <v>994</v>
      </c>
      <c r="Q28" s="98" t="s">
        <v>491</v>
      </c>
      <c r="R28" s="99" t="s">
        <v>1010</v>
      </c>
      <c r="S28" s="98" t="s">
        <v>491</v>
      </c>
      <c r="T28" s="102"/>
    </row>
    <row r="29" ht="15.75" customHeight="1">
      <c r="A29" s="98" t="s">
        <v>101</v>
      </c>
      <c r="B29" s="98" t="s">
        <v>19</v>
      </c>
      <c r="C29" s="98" t="s">
        <v>985</v>
      </c>
      <c r="D29" s="98" t="s">
        <v>491</v>
      </c>
      <c r="E29" s="98" t="s">
        <v>491</v>
      </c>
      <c r="F29" s="98" t="s">
        <v>491</v>
      </c>
      <c r="G29" s="98" t="s">
        <v>985</v>
      </c>
      <c r="H29" s="98" t="s">
        <v>985</v>
      </c>
      <c r="I29" s="98" t="s">
        <v>491</v>
      </c>
      <c r="J29" s="98" t="s">
        <v>491</v>
      </c>
      <c r="K29" s="98" t="s">
        <v>985</v>
      </c>
      <c r="L29" s="98" t="s">
        <v>985</v>
      </c>
      <c r="M29" s="98" t="s">
        <v>491</v>
      </c>
      <c r="N29" s="98" t="s">
        <v>491</v>
      </c>
      <c r="O29" s="98" t="s">
        <v>491</v>
      </c>
      <c r="P29" s="99" t="s">
        <v>994</v>
      </c>
      <c r="Q29" s="98" t="s">
        <v>491</v>
      </c>
      <c r="R29" s="99" t="s">
        <v>1010</v>
      </c>
      <c r="S29" s="98" t="s">
        <v>491</v>
      </c>
      <c r="T29" s="102"/>
    </row>
    <row r="30" ht="15.75" customHeight="1">
      <c r="A30" s="98" t="s">
        <v>104</v>
      </c>
      <c r="B30" s="98" t="s">
        <v>19</v>
      </c>
      <c r="C30" s="98" t="s">
        <v>985</v>
      </c>
      <c r="D30" s="98" t="s">
        <v>491</v>
      </c>
      <c r="E30" s="98" t="s">
        <v>491</v>
      </c>
      <c r="F30" s="98" t="s">
        <v>491</v>
      </c>
      <c r="G30" s="98" t="s">
        <v>985</v>
      </c>
      <c r="H30" s="98" t="s">
        <v>985</v>
      </c>
      <c r="I30" s="98" t="s">
        <v>491</v>
      </c>
      <c r="J30" s="98" t="s">
        <v>491</v>
      </c>
      <c r="K30" s="98" t="s">
        <v>491</v>
      </c>
      <c r="L30" s="98" t="s">
        <v>491</v>
      </c>
      <c r="M30" s="98" t="s">
        <v>491</v>
      </c>
      <c r="N30" s="98" t="s">
        <v>491</v>
      </c>
      <c r="O30" s="98" t="s">
        <v>491</v>
      </c>
      <c r="P30" s="101"/>
      <c r="Q30" s="98" t="s">
        <v>491</v>
      </c>
      <c r="R30" s="99" t="s">
        <v>1010</v>
      </c>
      <c r="S30" s="98" t="s">
        <v>491</v>
      </c>
      <c r="T30" s="102"/>
    </row>
    <row r="31" ht="15.75" customHeight="1">
      <c r="A31" s="98" t="s">
        <v>107</v>
      </c>
      <c r="B31" s="98" t="s">
        <v>19</v>
      </c>
      <c r="C31" s="98" t="s">
        <v>985</v>
      </c>
      <c r="D31" s="98" t="s">
        <v>491</v>
      </c>
      <c r="E31" s="98" t="s">
        <v>491</v>
      </c>
      <c r="F31" s="98" t="s">
        <v>491</v>
      </c>
      <c r="G31" s="98" t="s">
        <v>985</v>
      </c>
      <c r="H31" s="98" t="s">
        <v>985</v>
      </c>
      <c r="I31" s="98" t="s">
        <v>491</v>
      </c>
      <c r="J31" s="98" t="s">
        <v>985</v>
      </c>
      <c r="K31" s="98" t="s">
        <v>985</v>
      </c>
      <c r="L31" s="98" t="s">
        <v>985</v>
      </c>
      <c r="M31" s="98" t="s">
        <v>491</v>
      </c>
      <c r="N31" s="98" t="s">
        <v>491</v>
      </c>
      <c r="O31" s="98" t="s">
        <v>491</v>
      </c>
      <c r="P31" s="99" t="s">
        <v>994</v>
      </c>
      <c r="Q31" s="98" t="s">
        <v>491</v>
      </c>
      <c r="R31" s="99" t="s">
        <v>1010</v>
      </c>
      <c r="S31" s="98" t="s">
        <v>491</v>
      </c>
      <c r="T31" s="102"/>
    </row>
    <row r="32" ht="15.75" customHeight="1">
      <c r="A32" s="98" t="s">
        <v>109</v>
      </c>
      <c r="B32" s="98" t="s">
        <v>19</v>
      </c>
      <c r="C32" s="98" t="s">
        <v>985</v>
      </c>
      <c r="D32" s="98" t="s">
        <v>491</v>
      </c>
      <c r="E32" s="98" t="s">
        <v>491</v>
      </c>
      <c r="F32" s="98" t="s">
        <v>491</v>
      </c>
      <c r="G32" s="98" t="s">
        <v>985</v>
      </c>
      <c r="H32" s="98" t="s">
        <v>985</v>
      </c>
      <c r="I32" s="98" t="s">
        <v>491</v>
      </c>
      <c r="J32" s="98" t="s">
        <v>491</v>
      </c>
      <c r="K32" s="98" t="s">
        <v>491</v>
      </c>
      <c r="L32" s="98" t="s">
        <v>985</v>
      </c>
      <c r="M32" s="98" t="s">
        <v>985</v>
      </c>
      <c r="N32" s="98" t="s">
        <v>985</v>
      </c>
      <c r="O32" s="98" t="s">
        <v>985</v>
      </c>
      <c r="P32" s="99" t="s">
        <v>994</v>
      </c>
      <c r="Q32" s="98" t="s">
        <v>491</v>
      </c>
      <c r="R32" s="99" t="s">
        <v>1010</v>
      </c>
      <c r="S32" s="98" t="s">
        <v>491</v>
      </c>
      <c r="T32" s="102"/>
    </row>
    <row r="33" ht="15.75" customHeight="1">
      <c r="A33" s="98" t="s">
        <v>111</v>
      </c>
      <c r="B33" s="98" t="s">
        <v>19</v>
      </c>
      <c r="C33" s="98" t="s">
        <v>985</v>
      </c>
      <c r="D33" s="98" t="s">
        <v>491</v>
      </c>
      <c r="E33" s="98" t="s">
        <v>491</v>
      </c>
      <c r="F33" s="98" t="s">
        <v>491</v>
      </c>
      <c r="G33" s="98" t="s">
        <v>985</v>
      </c>
      <c r="H33" s="98" t="s">
        <v>985</v>
      </c>
      <c r="I33" s="98" t="s">
        <v>491</v>
      </c>
      <c r="J33" s="98" t="s">
        <v>491</v>
      </c>
      <c r="K33" s="98" t="s">
        <v>985</v>
      </c>
      <c r="L33" s="98" t="s">
        <v>985</v>
      </c>
      <c r="M33" s="98" t="s">
        <v>491</v>
      </c>
      <c r="N33" s="98" t="s">
        <v>985</v>
      </c>
      <c r="O33" s="98" t="s">
        <v>491</v>
      </c>
      <c r="P33" s="99" t="s">
        <v>994</v>
      </c>
      <c r="Q33" s="98" t="s">
        <v>491</v>
      </c>
      <c r="R33" s="99" t="s">
        <v>1010</v>
      </c>
      <c r="S33" s="98" t="s">
        <v>491</v>
      </c>
      <c r="T33" s="102"/>
    </row>
    <row r="34" ht="15.75" customHeight="1">
      <c r="A34" s="98" t="s">
        <v>114</v>
      </c>
      <c r="B34" s="98" t="s">
        <v>19</v>
      </c>
      <c r="C34" s="98" t="s">
        <v>985</v>
      </c>
      <c r="D34" s="98" t="s">
        <v>491</v>
      </c>
      <c r="E34" s="98" t="s">
        <v>491</v>
      </c>
      <c r="F34" s="98" t="s">
        <v>491</v>
      </c>
      <c r="G34" s="98" t="s">
        <v>985</v>
      </c>
      <c r="H34" s="98" t="s">
        <v>985</v>
      </c>
      <c r="I34" s="98" t="s">
        <v>491</v>
      </c>
      <c r="J34" s="98" t="s">
        <v>491</v>
      </c>
      <c r="K34" s="98" t="s">
        <v>985</v>
      </c>
      <c r="L34" s="98" t="s">
        <v>985</v>
      </c>
      <c r="M34" s="98" t="s">
        <v>985</v>
      </c>
      <c r="N34" s="98" t="s">
        <v>491</v>
      </c>
      <c r="O34" s="98" t="s">
        <v>491</v>
      </c>
      <c r="P34" s="99" t="s">
        <v>994</v>
      </c>
      <c r="Q34" s="98" t="s">
        <v>491</v>
      </c>
      <c r="R34" s="99" t="s">
        <v>1010</v>
      </c>
      <c r="S34" s="98" t="s">
        <v>491</v>
      </c>
      <c r="T34" s="102"/>
    </row>
    <row r="35" ht="15.75" customHeight="1">
      <c r="A35" s="98" t="s">
        <v>116</v>
      </c>
      <c r="B35" s="98" t="s">
        <v>19</v>
      </c>
      <c r="C35" s="98" t="s">
        <v>985</v>
      </c>
      <c r="D35" s="98" t="s">
        <v>491</v>
      </c>
      <c r="E35" s="98" t="s">
        <v>491</v>
      </c>
      <c r="F35" s="98" t="s">
        <v>491</v>
      </c>
      <c r="G35" s="98" t="s">
        <v>985</v>
      </c>
      <c r="H35" s="98" t="s">
        <v>491</v>
      </c>
      <c r="I35" s="98" t="s">
        <v>491</v>
      </c>
      <c r="J35" s="98" t="s">
        <v>491</v>
      </c>
      <c r="K35" s="98" t="s">
        <v>985</v>
      </c>
      <c r="L35" s="98" t="s">
        <v>985</v>
      </c>
      <c r="M35" s="98" t="s">
        <v>985</v>
      </c>
      <c r="N35" s="98" t="s">
        <v>985</v>
      </c>
      <c r="O35" s="98" t="s">
        <v>985</v>
      </c>
      <c r="P35" s="99" t="s">
        <v>1012</v>
      </c>
      <c r="Q35" s="98" t="s">
        <v>491</v>
      </c>
      <c r="R35" s="99" t="s">
        <v>1010</v>
      </c>
      <c r="S35" s="98" t="s">
        <v>491</v>
      </c>
      <c r="T35" s="102"/>
    </row>
    <row r="36" ht="15.75" customHeight="1">
      <c r="A36" s="98" t="s">
        <v>119</v>
      </c>
      <c r="B36" s="98" t="s">
        <v>19</v>
      </c>
      <c r="C36" s="98" t="s">
        <v>985</v>
      </c>
      <c r="D36" s="98" t="s">
        <v>491</v>
      </c>
      <c r="E36" s="98" t="s">
        <v>491</v>
      </c>
      <c r="F36" s="98" t="s">
        <v>491</v>
      </c>
      <c r="G36" s="98" t="s">
        <v>985</v>
      </c>
      <c r="H36" s="98" t="s">
        <v>985</v>
      </c>
      <c r="I36" s="98" t="s">
        <v>491</v>
      </c>
      <c r="J36" s="98" t="s">
        <v>491</v>
      </c>
      <c r="K36" s="98" t="s">
        <v>985</v>
      </c>
      <c r="L36" s="98" t="s">
        <v>985</v>
      </c>
      <c r="M36" s="98" t="s">
        <v>491</v>
      </c>
      <c r="N36" s="98" t="s">
        <v>491</v>
      </c>
      <c r="O36" s="98" t="s">
        <v>491</v>
      </c>
      <c r="P36" s="99" t="s">
        <v>1012</v>
      </c>
      <c r="Q36" s="98" t="s">
        <v>491</v>
      </c>
      <c r="R36" s="99" t="s">
        <v>1010</v>
      </c>
      <c r="S36" s="98" t="s">
        <v>491</v>
      </c>
      <c r="T36" s="102"/>
    </row>
    <row r="37" ht="15.75" customHeight="1">
      <c r="A37" s="98" t="s">
        <v>122</v>
      </c>
      <c r="B37" s="98" t="s">
        <v>19</v>
      </c>
      <c r="C37" s="98" t="s">
        <v>985</v>
      </c>
      <c r="D37" s="98" t="s">
        <v>491</v>
      </c>
      <c r="E37" s="98" t="s">
        <v>985</v>
      </c>
      <c r="F37" s="98" t="s">
        <v>491</v>
      </c>
      <c r="G37" s="98" t="s">
        <v>985</v>
      </c>
      <c r="H37" s="98" t="s">
        <v>985</v>
      </c>
      <c r="I37" s="98" t="s">
        <v>985</v>
      </c>
      <c r="J37" s="98" t="s">
        <v>491</v>
      </c>
      <c r="K37" s="98" t="s">
        <v>491</v>
      </c>
      <c r="L37" s="98" t="s">
        <v>985</v>
      </c>
      <c r="M37" s="98" t="s">
        <v>985</v>
      </c>
      <c r="N37" s="98" t="s">
        <v>985</v>
      </c>
      <c r="O37" s="98" t="s">
        <v>985</v>
      </c>
      <c r="P37" s="99" t="s">
        <v>994</v>
      </c>
      <c r="Q37" s="98" t="s">
        <v>491</v>
      </c>
      <c r="R37" s="101"/>
      <c r="S37" s="98" t="s">
        <v>491</v>
      </c>
      <c r="T37" s="102"/>
    </row>
    <row r="38" ht="15.75" customHeight="1">
      <c r="A38" s="98" t="s">
        <v>125</v>
      </c>
      <c r="B38" s="98" t="s">
        <v>19</v>
      </c>
      <c r="C38" s="98" t="s">
        <v>985</v>
      </c>
      <c r="D38" s="98" t="s">
        <v>491</v>
      </c>
      <c r="E38" s="98" t="s">
        <v>491</v>
      </c>
      <c r="F38" s="98" t="s">
        <v>491</v>
      </c>
      <c r="G38" s="98" t="s">
        <v>985</v>
      </c>
      <c r="H38" s="98" t="s">
        <v>985</v>
      </c>
      <c r="I38" s="98" t="s">
        <v>491</v>
      </c>
      <c r="J38" s="98" t="s">
        <v>491</v>
      </c>
      <c r="K38" s="98" t="s">
        <v>985</v>
      </c>
      <c r="L38" s="98" t="s">
        <v>985</v>
      </c>
      <c r="M38" s="98" t="s">
        <v>985</v>
      </c>
      <c r="N38" s="98" t="s">
        <v>985</v>
      </c>
      <c r="O38" s="98" t="s">
        <v>985</v>
      </c>
      <c r="P38" s="99" t="s">
        <v>1012</v>
      </c>
      <c r="Q38" s="98" t="s">
        <v>491</v>
      </c>
      <c r="R38" s="101"/>
      <c r="S38" s="98" t="s">
        <v>491</v>
      </c>
      <c r="T38" s="102"/>
    </row>
    <row r="39" ht="15.75" customHeight="1">
      <c r="A39" s="98" t="s">
        <v>127</v>
      </c>
      <c r="B39" s="98" t="s">
        <v>19</v>
      </c>
      <c r="C39" s="98" t="s">
        <v>985</v>
      </c>
      <c r="D39" s="98" t="s">
        <v>491</v>
      </c>
      <c r="E39" s="98" t="s">
        <v>491</v>
      </c>
      <c r="F39" s="98" t="s">
        <v>491</v>
      </c>
      <c r="G39" s="98" t="s">
        <v>985</v>
      </c>
      <c r="H39" s="98" t="s">
        <v>491</v>
      </c>
      <c r="I39" s="98" t="s">
        <v>491</v>
      </c>
      <c r="J39" s="98" t="s">
        <v>491</v>
      </c>
      <c r="K39" s="98" t="s">
        <v>985</v>
      </c>
      <c r="L39" s="98" t="s">
        <v>985</v>
      </c>
      <c r="M39" s="98" t="s">
        <v>985</v>
      </c>
      <c r="N39" s="98" t="s">
        <v>985</v>
      </c>
      <c r="O39" s="98" t="s">
        <v>985</v>
      </c>
      <c r="P39" s="99" t="s">
        <v>1012</v>
      </c>
      <c r="Q39" s="98" t="s">
        <v>491</v>
      </c>
      <c r="R39" s="101"/>
      <c r="S39" s="98" t="s">
        <v>491</v>
      </c>
      <c r="T39" s="102"/>
    </row>
    <row r="40" ht="15.75" customHeight="1">
      <c r="A40" s="98" t="s">
        <v>129</v>
      </c>
      <c r="B40" s="98" t="s">
        <v>19</v>
      </c>
      <c r="C40" s="98" t="s">
        <v>985</v>
      </c>
      <c r="D40" s="98" t="s">
        <v>491</v>
      </c>
      <c r="E40" s="98" t="s">
        <v>491</v>
      </c>
      <c r="F40" s="98" t="s">
        <v>491</v>
      </c>
      <c r="G40" s="98" t="s">
        <v>985</v>
      </c>
      <c r="H40" s="98" t="s">
        <v>491</v>
      </c>
      <c r="I40" s="98" t="s">
        <v>491</v>
      </c>
      <c r="J40" s="98" t="s">
        <v>491</v>
      </c>
      <c r="K40" s="98" t="s">
        <v>985</v>
      </c>
      <c r="L40" s="98" t="s">
        <v>985</v>
      </c>
      <c r="M40" s="98" t="s">
        <v>491</v>
      </c>
      <c r="N40" s="98" t="s">
        <v>491</v>
      </c>
      <c r="O40" s="98" t="s">
        <v>491</v>
      </c>
      <c r="P40" s="99" t="s">
        <v>994</v>
      </c>
      <c r="Q40" s="98" t="s">
        <v>491</v>
      </c>
      <c r="R40" s="101"/>
      <c r="S40" s="98" t="s">
        <v>491</v>
      </c>
      <c r="T40" s="102"/>
    </row>
    <row r="41" ht="15.75" customHeight="1">
      <c r="A41" s="98" t="s">
        <v>131</v>
      </c>
      <c r="B41" s="98" t="s">
        <v>19</v>
      </c>
      <c r="C41" s="98" t="s">
        <v>985</v>
      </c>
      <c r="D41" s="98" t="s">
        <v>491</v>
      </c>
      <c r="E41" s="98" t="s">
        <v>491</v>
      </c>
      <c r="F41" s="98" t="s">
        <v>491</v>
      </c>
      <c r="G41" s="98" t="s">
        <v>985</v>
      </c>
      <c r="H41" s="98" t="s">
        <v>985</v>
      </c>
      <c r="I41" s="98" t="s">
        <v>985</v>
      </c>
      <c r="J41" s="98" t="s">
        <v>491</v>
      </c>
      <c r="K41" s="98" t="s">
        <v>491</v>
      </c>
      <c r="L41" s="98" t="s">
        <v>985</v>
      </c>
      <c r="M41" s="98" t="s">
        <v>491</v>
      </c>
      <c r="N41" s="98" t="s">
        <v>985</v>
      </c>
      <c r="O41" s="98" t="s">
        <v>985</v>
      </c>
      <c r="P41" s="99" t="s">
        <v>994</v>
      </c>
      <c r="Q41" s="98" t="s">
        <v>985</v>
      </c>
      <c r="R41" s="99" t="s">
        <v>987</v>
      </c>
      <c r="S41" s="98" t="s">
        <v>491</v>
      </c>
      <c r="T41" s="102"/>
    </row>
    <row r="42" ht="15.75" customHeight="1">
      <c r="A42" s="4" t="s">
        <v>134</v>
      </c>
      <c r="B42" s="98" t="s">
        <v>19</v>
      </c>
      <c r="C42" s="98" t="s">
        <v>985</v>
      </c>
      <c r="D42" s="98" t="s">
        <v>491</v>
      </c>
      <c r="E42" s="98" t="s">
        <v>985</v>
      </c>
      <c r="F42" s="98" t="s">
        <v>491</v>
      </c>
      <c r="G42" s="98" t="s">
        <v>985</v>
      </c>
      <c r="H42" s="98" t="s">
        <v>985</v>
      </c>
      <c r="I42" s="98" t="s">
        <v>491</v>
      </c>
      <c r="J42" s="98" t="s">
        <v>491</v>
      </c>
      <c r="K42" s="98" t="s">
        <v>491</v>
      </c>
      <c r="L42" s="98" t="s">
        <v>491</v>
      </c>
      <c r="M42" s="98" t="s">
        <v>491</v>
      </c>
      <c r="N42" s="98" t="s">
        <v>491</v>
      </c>
      <c r="O42" s="98" t="s">
        <v>491</v>
      </c>
      <c r="P42" s="99" t="s">
        <v>994</v>
      </c>
      <c r="Q42" s="98" t="s">
        <v>985</v>
      </c>
      <c r="R42" s="99" t="s">
        <v>987</v>
      </c>
      <c r="S42" s="98" t="s">
        <v>491</v>
      </c>
      <c r="T42" s="102"/>
    </row>
    <row r="43" ht="15.75" customHeight="1">
      <c r="A43" s="4" t="s">
        <v>139</v>
      </c>
      <c r="B43" s="98" t="s">
        <v>19</v>
      </c>
      <c r="C43" s="98" t="s">
        <v>985</v>
      </c>
      <c r="D43" s="98" t="s">
        <v>491</v>
      </c>
      <c r="E43" s="98" t="s">
        <v>985</v>
      </c>
      <c r="F43" s="98" t="s">
        <v>491</v>
      </c>
      <c r="G43" s="98" t="s">
        <v>985</v>
      </c>
      <c r="H43" s="98" t="s">
        <v>985</v>
      </c>
      <c r="I43" s="98" t="s">
        <v>491</v>
      </c>
      <c r="J43" s="98" t="s">
        <v>491</v>
      </c>
      <c r="K43" s="98" t="s">
        <v>491</v>
      </c>
      <c r="L43" s="98" t="s">
        <v>491</v>
      </c>
      <c r="M43" s="98" t="s">
        <v>491</v>
      </c>
      <c r="N43" s="98" t="s">
        <v>491</v>
      </c>
      <c r="O43" s="98" t="s">
        <v>491</v>
      </c>
      <c r="P43" s="99" t="s">
        <v>994</v>
      </c>
      <c r="Q43" s="98" t="s">
        <v>985</v>
      </c>
      <c r="R43" s="99" t="s">
        <v>987</v>
      </c>
      <c r="S43" s="98" t="s">
        <v>491</v>
      </c>
      <c r="T43" s="102"/>
    </row>
    <row r="44" ht="15.75" customHeight="1">
      <c r="A44" s="4" t="s">
        <v>141</v>
      </c>
      <c r="B44" s="98" t="s">
        <v>19</v>
      </c>
      <c r="C44" s="98" t="s">
        <v>985</v>
      </c>
      <c r="D44" s="98" t="s">
        <v>491</v>
      </c>
      <c r="E44" s="98" t="s">
        <v>985</v>
      </c>
      <c r="F44" s="98" t="s">
        <v>491</v>
      </c>
      <c r="G44" s="98" t="s">
        <v>985</v>
      </c>
      <c r="H44" s="98" t="s">
        <v>985</v>
      </c>
      <c r="I44" s="98" t="s">
        <v>491</v>
      </c>
      <c r="J44" s="98" t="s">
        <v>491</v>
      </c>
      <c r="K44" s="98" t="s">
        <v>491</v>
      </c>
      <c r="L44" s="98" t="s">
        <v>491</v>
      </c>
      <c r="M44" s="98" t="s">
        <v>491</v>
      </c>
      <c r="N44" s="98" t="s">
        <v>491</v>
      </c>
      <c r="O44" s="98" t="s">
        <v>491</v>
      </c>
      <c r="P44" s="99" t="s">
        <v>994</v>
      </c>
      <c r="Q44" s="98" t="s">
        <v>985</v>
      </c>
      <c r="R44" s="99" t="s">
        <v>987</v>
      </c>
      <c r="S44" s="98" t="s">
        <v>491</v>
      </c>
      <c r="T44" s="102"/>
    </row>
    <row r="45" ht="15.75" customHeight="1">
      <c r="A45" s="4" t="s">
        <v>143</v>
      </c>
      <c r="B45" s="98" t="s">
        <v>19</v>
      </c>
      <c r="C45" s="98" t="s">
        <v>985</v>
      </c>
      <c r="D45" s="98" t="s">
        <v>491</v>
      </c>
      <c r="E45" s="98" t="s">
        <v>985</v>
      </c>
      <c r="F45" s="98" t="s">
        <v>491</v>
      </c>
      <c r="G45" s="98" t="s">
        <v>985</v>
      </c>
      <c r="H45" s="98" t="s">
        <v>985</v>
      </c>
      <c r="I45" s="98" t="s">
        <v>491</v>
      </c>
      <c r="J45" s="98" t="s">
        <v>491</v>
      </c>
      <c r="K45" s="98" t="s">
        <v>491</v>
      </c>
      <c r="L45" s="98" t="s">
        <v>491</v>
      </c>
      <c r="M45" s="98" t="s">
        <v>491</v>
      </c>
      <c r="N45" s="98" t="s">
        <v>491</v>
      </c>
      <c r="O45" s="98" t="s">
        <v>491</v>
      </c>
      <c r="P45" s="99" t="s">
        <v>994</v>
      </c>
      <c r="Q45" s="98" t="s">
        <v>985</v>
      </c>
      <c r="R45" s="99" t="s">
        <v>987</v>
      </c>
      <c r="S45" s="98" t="s">
        <v>491</v>
      </c>
      <c r="T45" s="102"/>
    </row>
    <row r="46" ht="15.75" customHeight="1">
      <c r="A46" s="4" t="s">
        <v>145</v>
      </c>
      <c r="B46" s="98" t="s">
        <v>19</v>
      </c>
      <c r="C46" s="98" t="s">
        <v>985</v>
      </c>
      <c r="D46" s="98" t="s">
        <v>491</v>
      </c>
      <c r="E46" s="98" t="s">
        <v>985</v>
      </c>
      <c r="F46" s="98" t="s">
        <v>491</v>
      </c>
      <c r="G46" s="98" t="s">
        <v>985</v>
      </c>
      <c r="H46" s="98" t="s">
        <v>985</v>
      </c>
      <c r="I46" s="98" t="s">
        <v>491</v>
      </c>
      <c r="J46" s="98" t="s">
        <v>491</v>
      </c>
      <c r="K46" s="98" t="s">
        <v>491</v>
      </c>
      <c r="L46" s="98" t="s">
        <v>491</v>
      </c>
      <c r="M46" s="98" t="s">
        <v>491</v>
      </c>
      <c r="N46" s="98" t="s">
        <v>491</v>
      </c>
      <c r="O46" s="98" t="s">
        <v>491</v>
      </c>
      <c r="P46" s="99" t="s">
        <v>994</v>
      </c>
      <c r="Q46" s="98" t="s">
        <v>985</v>
      </c>
      <c r="R46" s="99" t="s">
        <v>987</v>
      </c>
      <c r="S46" s="98" t="s">
        <v>491</v>
      </c>
      <c r="T46" s="102"/>
    </row>
    <row r="47" ht="15.75" customHeight="1">
      <c r="A47" s="4" t="s">
        <v>147</v>
      </c>
      <c r="B47" s="98" t="s">
        <v>19</v>
      </c>
      <c r="C47" s="98" t="s">
        <v>985</v>
      </c>
      <c r="D47" s="98" t="s">
        <v>491</v>
      </c>
      <c r="E47" s="98" t="s">
        <v>985</v>
      </c>
      <c r="F47" s="98" t="s">
        <v>985</v>
      </c>
      <c r="G47" s="98" t="s">
        <v>491</v>
      </c>
      <c r="H47" s="98" t="s">
        <v>985</v>
      </c>
      <c r="I47" s="98" t="s">
        <v>985</v>
      </c>
      <c r="J47" s="98" t="s">
        <v>491</v>
      </c>
      <c r="K47" s="98" t="s">
        <v>985</v>
      </c>
      <c r="L47" s="98" t="s">
        <v>491</v>
      </c>
      <c r="M47" s="98" t="s">
        <v>491</v>
      </c>
      <c r="N47" s="98" t="s">
        <v>491</v>
      </c>
      <c r="O47" s="98" t="s">
        <v>491</v>
      </c>
      <c r="P47" s="99" t="s">
        <v>994</v>
      </c>
      <c r="Q47" s="98" t="s">
        <v>985</v>
      </c>
      <c r="R47" s="99" t="s">
        <v>1013</v>
      </c>
      <c r="S47" s="98" t="s">
        <v>985</v>
      </c>
      <c r="T47" s="102"/>
    </row>
    <row r="48" ht="15.75" customHeight="1">
      <c r="A48" s="4" t="s">
        <v>149</v>
      </c>
      <c r="B48" s="98" t="s">
        <v>19</v>
      </c>
      <c r="C48" s="98" t="s">
        <v>985</v>
      </c>
      <c r="D48" s="98" t="s">
        <v>491</v>
      </c>
      <c r="E48" s="98" t="s">
        <v>985</v>
      </c>
      <c r="F48" s="98" t="s">
        <v>985</v>
      </c>
      <c r="G48" s="98" t="s">
        <v>491</v>
      </c>
      <c r="H48" s="98" t="s">
        <v>491</v>
      </c>
      <c r="I48" s="98" t="s">
        <v>491</v>
      </c>
      <c r="J48" s="98" t="s">
        <v>491</v>
      </c>
      <c r="K48" s="98" t="s">
        <v>491</v>
      </c>
      <c r="L48" s="98" t="s">
        <v>491</v>
      </c>
      <c r="M48" s="98" t="s">
        <v>491</v>
      </c>
      <c r="N48" s="98" t="s">
        <v>491</v>
      </c>
      <c r="O48" s="98" t="s">
        <v>491</v>
      </c>
      <c r="P48" s="99" t="s">
        <v>994</v>
      </c>
      <c r="Q48" s="98" t="s">
        <v>985</v>
      </c>
      <c r="R48" s="99" t="s">
        <v>1013</v>
      </c>
      <c r="S48" s="98" t="s">
        <v>491</v>
      </c>
      <c r="T48" s="102"/>
    </row>
    <row r="49" ht="15.75" customHeight="1">
      <c r="A49" s="4" t="s">
        <v>151</v>
      </c>
      <c r="B49" s="98" t="s">
        <v>19</v>
      </c>
      <c r="C49" s="98" t="s">
        <v>985</v>
      </c>
      <c r="D49" s="98" t="s">
        <v>491</v>
      </c>
      <c r="E49" s="98" t="s">
        <v>985</v>
      </c>
      <c r="F49" s="98" t="s">
        <v>491</v>
      </c>
      <c r="G49" s="98" t="s">
        <v>985</v>
      </c>
      <c r="H49" s="98" t="s">
        <v>985</v>
      </c>
      <c r="I49" s="98" t="s">
        <v>491</v>
      </c>
      <c r="J49" s="98" t="s">
        <v>491</v>
      </c>
      <c r="K49" s="98" t="s">
        <v>491</v>
      </c>
      <c r="L49" s="98" t="s">
        <v>491</v>
      </c>
      <c r="M49" s="98" t="s">
        <v>491</v>
      </c>
      <c r="N49" s="98" t="s">
        <v>491</v>
      </c>
      <c r="O49" s="98" t="s">
        <v>491</v>
      </c>
      <c r="P49" s="99" t="s">
        <v>994</v>
      </c>
      <c r="Q49" s="98" t="s">
        <v>985</v>
      </c>
      <c r="R49" s="99" t="s">
        <v>1013</v>
      </c>
      <c r="S49" s="98" t="s">
        <v>985</v>
      </c>
      <c r="T49" s="102"/>
    </row>
    <row r="50" ht="15.75" customHeight="1">
      <c r="A50" s="4" t="s">
        <v>153</v>
      </c>
      <c r="B50" s="98" t="s">
        <v>19</v>
      </c>
      <c r="C50" s="98" t="s">
        <v>985</v>
      </c>
      <c r="D50" s="98" t="s">
        <v>491</v>
      </c>
      <c r="E50" s="98" t="s">
        <v>985</v>
      </c>
      <c r="F50" s="98" t="s">
        <v>491</v>
      </c>
      <c r="G50" s="98" t="s">
        <v>985</v>
      </c>
      <c r="H50" s="98" t="s">
        <v>985</v>
      </c>
      <c r="I50" s="98" t="s">
        <v>491</v>
      </c>
      <c r="J50" s="98" t="s">
        <v>491</v>
      </c>
      <c r="K50" s="98" t="s">
        <v>491</v>
      </c>
      <c r="L50" s="98" t="s">
        <v>491</v>
      </c>
      <c r="M50" s="98" t="s">
        <v>491</v>
      </c>
      <c r="N50" s="98" t="s">
        <v>491</v>
      </c>
      <c r="O50" s="98" t="s">
        <v>491</v>
      </c>
      <c r="P50" s="99" t="s">
        <v>994</v>
      </c>
      <c r="Q50" s="98" t="s">
        <v>985</v>
      </c>
      <c r="R50" s="99" t="s">
        <v>1013</v>
      </c>
      <c r="S50" s="98" t="s">
        <v>985</v>
      </c>
      <c r="T50" s="102"/>
    </row>
    <row r="51" ht="15.75" customHeight="1">
      <c r="A51" s="4" t="s">
        <v>155</v>
      </c>
      <c r="B51" s="98" t="s">
        <v>19</v>
      </c>
      <c r="C51" s="98" t="s">
        <v>985</v>
      </c>
      <c r="D51" s="98" t="s">
        <v>491</v>
      </c>
      <c r="E51" s="98" t="s">
        <v>491</v>
      </c>
      <c r="F51" s="98" t="s">
        <v>491</v>
      </c>
      <c r="G51" s="98" t="s">
        <v>985</v>
      </c>
      <c r="H51" s="98" t="s">
        <v>491</v>
      </c>
      <c r="I51" s="98" t="s">
        <v>491</v>
      </c>
      <c r="J51" s="98" t="s">
        <v>491</v>
      </c>
      <c r="K51" s="98" t="s">
        <v>491</v>
      </c>
      <c r="L51" s="98" t="s">
        <v>491</v>
      </c>
      <c r="M51" s="98" t="s">
        <v>491</v>
      </c>
      <c r="N51" s="98" t="s">
        <v>491</v>
      </c>
      <c r="O51" s="98" t="s">
        <v>491</v>
      </c>
      <c r="P51" s="99" t="s">
        <v>994</v>
      </c>
      <c r="Q51" s="98" t="s">
        <v>985</v>
      </c>
      <c r="R51" s="99" t="s">
        <v>1013</v>
      </c>
      <c r="S51" s="98" t="s">
        <v>985</v>
      </c>
      <c r="T51" s="102"/>
    </row>
    <row r="52" ht="15.75" customHeight="1">
      <c r="A52" s="103" t="s">
        <v>157</v>
      </c>
      <c r="B52" s="103" t="s">
        <v>158</v>
      </c>
      <c r="C52" s="103" t="s">
        <v>491</v>
      </c>
      <c r="D52" s="103" t="s">
        <v>491</v>
      </c>
      <c r="E52" s="103" t="s">
        <v>491</v>
      </c>
      <c r="F52" s="103" t="s">
        <v>491</v>
      </c>
      <c r="G52" s="103" t="s">
        <v>985</v>
      </c>
      <c r="H52" s="103" t="s">
        <v>491</v>
      </c>
      <c r="I52" s="103" t="s">
        <v>491</v>
      </c>
      <c r="J52" s="103" t="s">
        <v>491</v>
      </c>
      <c r="K52" s="103" t="s">
        <v>985</v>
      </c>
      <c r="L52" s="103" t="s">
        <v>985</v>
      </c>
      <c r="M52" s="103" t="s">
        <v>985</v>
      </c>
      <c r="N52" s="103" t="s">
        <v>491</v>
      </c>
      <c r="O52" s="103" t="s">
        <v>491</v>
      </c>
      <c r="P52" s="104" t="s">
        <v>986</v>
      </c>
      <c r="Q52" s="103" t="s">
        <v>985</v>
      </c>
      <c r="R52" s="104" t="s">
        <v>1010</v>
      </c>
      <c r="S52" s="103" t="s">
        <v>491</v>
      </c>
      <c r="T52" s="105"/>
    </row>
    <row r="53" ht="15.75" customHeight="1">
      <c r="A53" s="103" t="s">
        <v>164</v>
      </c>
      <c r="B53" s="103" t="s">
        <v>158</v>
      </c>
      <c r="C53" s="103" t="s">
        <v>491</v>
      </c>
      <c r="D53" s="103" t="s">
        <v>491</v>
      </c>
      <c r="E53" s="103" t="s">
        <v>491</v>
      </c>
      <c r="F53" s="103" t="s">
        <v>491</v>
      </c>
      <c r="G53" s="103" t="s">
        <v>985</v>
      </c>
      <c r="H53" s="103" t="s">
        <v>491</v>
      </c>
      <c r="I53" s="103" t="s">
        <v>491</v>
      </c>
      <c r="J53" s="103" t="s">
        <v>491</v>
      </c>
      <c r="K53" s="103" t="s">
        <v>985</v>
      </c>
      <c r="L53" s="103" t="s">
        <v>985</v>
      </c>
      <c r="M53" s="103" t="s">
        <v>985</v>
      </c>
      <c r="N53" s="103" t="s">
        <v>491</v>
      </c>
      <c r="O53" s="103" t="s">
        <v>491</v>
      </c>
      <c r="P53" s="104" t="s">
        <v>986</v>
      </c>
      <c r="Q53" s="103" t="s">
        <v>985</v>
      </c>
      <c r="R53" s="104" t="s">
        <v>1010</v>
      </c>
      <c r="S53" s="103" t="s">
        <v>491</v>
      </c>
      <c r="T53" s="105"/>
    </row>
    <row r="54" ht="15.75" customHeight="1">
      <c r="A54" s="103" t="s">
        <v>167</v>
      </c>
      <c r="B54" s="103" t="s">
        <v>158</v>
      </c>
      <c r="C54" s="103" t="s">
        <v>491</v>
      </c>
      <c r="D54" s="103" t="s">
        <v>491</v>
      </c>
      <c r="E54" s="103" t="s">
        <v>491</v>
      </c>
      <c r="F54" s="103" t="s">
        <v>491</v>
      </c>
      <c r="G54" s="103" t="s">
        <v>985</v>
      </c>
      <c r="H54" s="103" t="s">
        <v>491</v>
      </c>
      <c r="I54" s="103" t="s">
        <v>491</v>
      </c>
      <c r="J54" s="103" t="s">
        <v>491</v>
      </c>
      <c r="K54" s="103" t="s">
        <v>985</v>
      </c>
      <c r="L54" s="103" t="s">
        <v>985</v>
      </c>
      <c r="M54" s="103" t="s">
        <v>985</v>
      </c>
      <c r="N54" s="103" t="s">
        <v>491</v>
      </c>
      <c r="O54" s="103" t="s">
        <v>491</v>
      </c>
      <c r="P54" s="104" t="s">
        <v>986</v>
      </c>
      <c r="Q54" s="103" t="s">
        <v>985</v>
      </c>
      <c r="R54" s="104" t="s">
        <v>1010</v>
      </c>
      <c r="S54" s="103" t="s">
        <v>491</v>
      </c>
      <c r="T54" s="105"/>
    </row>
    <row r="55" ht="15.75" customHeight="1">
      <c r="A55" s="103" t="s">
        <v>169</v>
      </c>
      <c r="B55" s="103" t="s">
        <v>158</v>
      </c>
      <c r="C55" s="106" t="s">
        <v>491</v>
      </c>
      <c r="D55" s="106" t="s">
        <v>491</v>
      </c>
      <c r="E55" s="106" t="s">
        <v>491</v>
      </c>
      <c r="F55" s="106" t="s">
        <v>491</v>
      </c>
      <c r="G55" s="106" t="s">
        <v>985</v>
      </c>
      <c r="H55" s="106" t="s">
        <v>491</v>
      </c>
      <c r="I55" s="106" t="s">
        <v>491</v>
      </c>
      <c r="J55" s="106" t="s">
        <v>491</v>
      </c>
      <c r="K55" s="106" t="s">
        <v>985</v>
      </c>
      <c r="L55" s="106" t="s">
        <v>985</v>
      </c>
      <c r="M55" s="106" t="s">
        <v>985</v>
      </c>
      <c r="N55" s="106" t="s">
        <v>491</v>
      </c>
      <c r="O55" s="106" t="s">
        <v>491</v>
      </c>
      <c r="P55" s="107" t="s">
        <v>986</v>
      </c>
      <c r="Q55" s="106" t="s">
        <v>985</v>
      </c>
      <c r="R55" s="106" t="s">
        <v>1010</v>
      </c>
      <c r="S55" s="106" t="s">
        <v>491</v>
      </c>
      <c r="T55" s="106"/>
      <c r="U55" s="74"/>
      <c r="V55" s="74"/>
      <c r="W55" s="74"/>
      <c r="X55" s="74"/>
      <c r="Y55" s="74"/>
      <c r="Z55" s="74"/>
      <c r="AA55" s="74"/>
    </row>
    <row r="56" ht="15.75" customHeight="1">
      <c r="A56" s="103" t="s">
        <v>172</v>
      </c>
      <c r="B56" s="103" t="s">
        <v>158</v>
      </c>
      <c r="C56" s="103" t="s">
        <v>491</v>
      </c>
      <c r="D56" s="103" t="s">
        <v>491</v>
      </c>
      <c r="E56" s="103" t="s">
        <v>491</v>
      </c>
      <c r="F56" s="103" t="s">
        <v>491</v>
      </c>
      <c r="G56" s="103" t="s">
        <v>985</v>
      </c>
      <c r="H56" s="103" t="s">
        <v>491</v>
      </c>
      <c r="I56" s="103" t="s">
        <v>491</v>
      </c>
      <c r="J56" s="103" t="s">
        <v>491</v>
      </c>
      <c r="K56" s="103" t="s">
        <v>491</v>
      </c>
      <c r="L56" s="103" t="s">
        <v>985</v>
      </c>
      <c r="M56" s="103" t="s">
        <v>985</v>
      </c>
      <c r="N56" s="103" t="s">
        <v>491</v>
      </c>
      <c r="O56" s="103" t="s">
        <v>491</v>
      </c>
      <c r="P56" s="104" t="s">
        <v>986</v>
      </c>
      <c r="Q56" s="103" t="s">
        <v>985</v>
      </c>
      <c r="R56" s="104" t="s">
        <v>1014</v>
      </c>
      <c r="S56" s="103" t="s">
        <v>491</v>
      </c>
      <c r="T56" s="105"/>
    </row>
    <row r="57" ht="15.75" customHeight="1">
      <c r="A57" s="103" t="s">
        <v>174</v>
      </c>
      <c r="B57" s="103" t="s">
        <v>158</v>
      </c>
      <c r="C57" s="106" t="s">
        <v>491</v>
      </c>
      <c r="D57" s="106" t="s">
        <v>491</v>
      </c>
      <c r="E57" s="106" t="s">
        <v>491</v>
      </c>
      <c r="F57" s="106" t="s">
        <v>491</v>
      </c>
      <c r="G57" s="106" t="s">
        <v>985</v>
      </c>
      <c r="H57" s="106" t="s">
        <v>491</v>
      </c>
      <c r="I57" s="106" t="s">
        <v>491</v>
      </c>
      <c r="J57" s="106" t="s">
        <v>491</v>
      </c>
      <c r="K57" s="106" t="s">
        <v>985</v>
      </c>
      <c r="L57" s="106" t="s">
        <v>985</v>
      </c>
      <c r="M57" s="106" t="s">
        <v>985</v>
      </c>
      <c r="N57" s="106" t="s">
        <v>491</v>
      </c>
      <c r="O57" s="106" t="s">
        <v>491</v>
      </c>
      <c r="P57" s="107" t="s">
        <v>986</v>
      </c>
      <c r="Q57" s="106" t="s">
        <v>985</v>
      </c>
      <c r="R57" s="106" t="s">
        <v>1010</v>
      </c>
      <c r="S57" s="106" t="s">
        <v>491</v>
      </c>
      <c r="T57" s="106"/>
      <c r="U57" s="74"/>
      <c r="V57" s="74"/>
      <c r="W57" s="74"/>
      <c r="X57" s="74"/>
      <c r="Y57" s="74"/>
      <c r="Z57" s="74"/>
      <c r="AA57" s="74"/>
    </row>
    <row r="58" ht="15.75" customHeight="1">
      <c r="A58" s="103" t="s">
        <v>176</v>
      </c>
      <c r="B58" s="103" t="s">
        <v>158</v>
      </c>
      <c r="C58" s="106" t="s">
        <v>491</v>
      </c>
      <c r="D58" s="106" t="s">
        <v>491</v>
      </c>
      <c r="E58" s="106" t="s">
        <v>491</v>
      </c>
      <c r="F58" s="106" t="s">
        <v>491</v>
      </c>
      <c r="G58" s="106" t="s">
        <v>985</v>
      </c>
      <c r="H58" s="106" t="s">
        <v>491</v>
      </c>
      <c r="I58" s="106" t="s">
        <v>491</v>
      </c>
      <c r="J58" s="106" t="s">
        <v>491</v>
      </c>
      <c r="K58" s="106" t="s">
        <v>985</v>
      </c>
      <c r="L58" s="106" t="s">
        <v>985</v>
      </c>
      <c r="M58" s="106" t="s">
        <v>985</v>
      </c>
      <c r="N58" s="106" t="s">
        <v>491</v>
      </c>
      <c r="O58" s="106" t="s">
        <v>491</v>
      </c>
      <c r="P58" s="107" t="s">
        <v>986</v>
      </c>
      <c r="Q58" s="106" t="s">
        <v>985</v>
      </c>
      <c r="R58" s="106" t="s">
        <v>1010</v>
      </c>
      <c r="S58" s="106" t="s">
        <v>491</v>
      </c>
      <c r="T58" s="106"/>
      <c r="U58" s="74"/>
      <c r="V58" s="74"/>
      <c r="W58" s="74"/>
      <c r="X58" s="74"/>
      <c r="Y58" s="74"/>
      <c r="Z58" s="74"/>
      <c r="AA58" s="74"/>
    </row>
    <row r="59" ht="15.75" customHeight="1">
      <c r="A59" s="103" t="s">
        <v>178</v>
      </c>
      <c r="B59" s="103" t="s">
        <v>158</v>
      </c>
      <c r="C59" s="103" t="s">
        <v>985</v>
      </c>
      <c r="D59" s="103" t="s">
        <v>491</v>
      </c>
      <c r="E59" s="103" t="s">
        <v>491</v>
      </c>
      <c r="F59" s="103" t="s">
        <v>985</v>
      </c>
      <c r="G59" s="103" t="s">
        <v>491</v>
      </c>
      <c r="H59" s="103" t="s">
        <v>491</v>
      </c>
      <c r="I59" s="103" t="s">
        <v>985</v>
      </c>
      <c r="J59" s="103" t="s">
        <v>985</v>
      </c>
      <c r="K59" s="103" t="s">
        <v>491</v>
      </c>
      <c r="L59" s="103" t="s">
        <v>491</v>
      </c>
      <c r="M59" s="103" t="s">
        <v>985</v>
      </c>
      <c r="N59" s="103" t="s">
        <v>491</v>
      </c>
      <c r="O59" s="103" t="s">
        <v>491</v>
      </c>
      <c r="P59" s="104" t="s">
        <v>994</v>
      </c>
      <c r="Q59" s="103" t="s">
        <v>985</v>
      </c>
      <c r="R59" s="104" t="s">
        <v>1015</v>
      </c>
      <c r="S59" s="103" t="s">
        <v>491</v>
      </c>
      <c r="T59" s="105"/>
    </row>
    <row r="60" ht="15.75" customHeight="1">
      <c r="A60" s="103" t="s">
        <v>180</v>
      </c>
      <c r="B60" s="103" t="s">
        <v>158</v>
      </c>
      <c r="C60" s="106" t="s">
        <v>491</v>
      </c>
      <c r="D60" s="106" t="s">
        <v>491</v>
      </c>
      <c r="E60" s="106" t="s">
        <v>491</v>
      </c>
      <c r="F60" s="106" t="s">
        <v>491</v>
      </c>
      <c r="G60" s="106" t="s">
        <v>985</v>
      </c>
      <c r="H60" s="106" t="s">
        <v>491</v>
      </c>
      <c r="I60" s="106" t="s">
        <v>491</v>
      </c>
      <c r="J60" s="106" t="s">
        <v>491</v>
      </c>
      <c r="K60" s="106" t="s">
        <v>985</v>
      </c>
      <c r="L60" s="106" t="s">
        <v>985</v>
      </c>
      <c r="M60" s="106" t="s">
        <v>985</v>
      </c>
      <c r="N60" s="106" t="s">
        <v>491</v>
      </c>
      <c r="O60" s="106" t="s">
        <v>491</v>
      </c>
      <c r="P60" s="107" t="s">
        <v>986</v>
      </c>
      <c r="Q60" s="106" t="s">
        <v>985</v>
      </c>
      <c r="R60" s="106" t="s">
        <v>1010</v>
      </c>
      <c r="S60" s="106" t="s">
        <v>491</v>
      </c>
      <c r="T60" s="106"/>
      <c r="U60" s="74"/>
      <c r="V60" s="74"/>
      <c r="W60" s="74"/>
      <c r="X60" s="74"/>
      <c r="Y60" s="74"/>
      <c r="Z60" s="74"/>
      <c r="AA60" s="74"/>
    </row>
    <row r="61" ht="15.75" customHeight="1">
      <c r="A61" s="103" t="s">
        <v>182</v>
      </c>
      <c r="B61" s="103" t="s">
        <v>158</v>
      </c>
      <c r="C61" s="108" t="s">
        <v>985</v>
      </c>
      <c r="D61" s="103" t="s">
        <v>491</v>
      </c>
      <c r="E61" s="103" t="s">
        <v>985</v>
      </c>
      <c r="F61" s="103" t="s">
        <v>491</v>
      </c>
      <c r="G61" s="103" t="s">
        <v>985</v>
      </c>
      <c r="H61" s="103" t="s">
        <v>985</v>
      </c>
      <c r="I61" s="103" t="s">
        <v>491</v>
      </c>
      <c r="J61" s="103" t="s">
        <v>985</v>
      </c>
      <c r="K61" s="103" t="s">
        <v>985</v>
      </c>
      <c r="L61" s="103" t="s">
        <v>985</v>
      </c>
      <c r="M61" s="103" t="s">
        <v>491</v>
      </c>
      <c r="N61" s="103" t="s">
        <v>985</v>
      </c>
      <c r="O61" s="103" t="s">
        <v>985</v>
      </c>
      <c r="P61" s="104" t="s">
        <v>993</v>
      </c>
      <c r="Q61" s="103" t="s">
        <v>491</v>
      </c>
      <c r="R61" s="104" t="s">
        <v>1014</v>
      </c>
      <c r="S61" s="103" t="s">
        <v>491</v>
      </c>
      <c r="T61" s="105"/>
    </row>
    <row r="62" ht="15.75" customHeight="1">
      <c r="A62" s="103" t="s">
        <v>186</v>
      </c>
      <c r="B62" s="103" t="s">
        <v>158</v>
      </c>
      <c r="C62" s="103" t="s">
        <v>491</v>
      </c>
      <c r="D62" s="103" t="s">
        <v>491</v>
      </c>
      <c r="E62" s="103" t="s">
        <v>491</v>
      </c>
      <c r="F62" s="103" t="s">
        <v>491</v>
      </c>
      <c r="G62" s="103" t="s">
        <v>985</v>
      </c>
      <c r="H62" s="103" t="s">
        <v>491</v>
      </c>
      <c r="I62" s="103" t="s">
        <v>491</v>
      </c>
      <c r="J62" s="103" t="s">
        <v>491</v>
      </c>
      <c r="K62" s="103" t="s">
        <v>491</v>
      </c>
      <c r="L62" s="103" t="s">
        <v>985</v>
      </c>
      <c r="M62" s="103" t="s">
        <v>985</v>
      </c>
      <c r="N62" s="103" t="s">
        <v>491</v>
      </c>
      <c r="O62" s="103" t="s">
        <v>491</v>
      </c>
      <c r="P62" s="104" t="s">
        <v>986</v>
      </c>
      <c r="Q62" s="103" t="s">
        <v>491</v>
      </c>
      <c r="R62" s="104" t="s">
        <v>1014</v>
      </c>
      <c r="S62" s="103" t="s">
        <v>491</v>
      </c>
      <c r="T62" s="105"/>
    </row>
    <row r="63" ht="15.75" customHeight="1">
      <c r="A63" s="103" t="s">
        <v>188</v>
      </c>
      <c r="B63" s="103" t="s">
        <v>158</v>
      </c>
      <c r="C63" s="103" t="s">
        <v>491</v>
      </c>
      <c r="D63" s="103" t="s">
        <v>491</v>
      </c>
      <c r="E63" s="103" t="s">
        <v>491</v>
      </c>
      <c r="F63" s="103" t="s">
        <v>491</v>
      </c>
      <c r="G63" s="103" t="s">
        <v>985</v>
      </c>
      <c r="H63" s="103" t="s">
        <v>491</v>
      </c>
      <c r="I63" s="103" t="s">
        <v>491</v>
      </c>
      <c r="J63" s="103" t="s">
        <v>491</v>
      </c>
      <c r="K63" s="103" t="s">
        <v>491</v>
      </c>
      <c r="L63" s="103" t="s">
        <v>985</v>
      </c>
      <c r="M63" s="103" t="s">
        <v>985</v>
      </c>
      <c r="N63" s="103" t="s">
        <v>491</v>
      </c>
      <c r="O63" s="103" t="s">
        <v>491</v>
      </c>
      <c r="P63" s="104" t="s">
        <v>986</v>
      </c>
      <c r="Q63" s="103" t="s">
        <v>491</v>
      </c>
      <c r="R63" s="104" t="s">
        <v>1014</v>
      </c>
      <c r="S63" s="103" t="s">
        <v>491</v>
      </c>
      <c r="T63" s="105"/>
    </row>
    <row r="64" ht="15.75" customHeight="1">
      <c r="A64" s="103" t="s">
        <v>190</v>
      </c>
      <c r="B64" s="103" t="s">
        <v>158</v>
      </c>
      <c r="C64" s="103" t="s">
        <v>491</v>
      </c>
      <c r="D64" s="103" t="s">
        <v>491</v>
      </c>
      <c r="E64" s="103" t="s">
        <v>491</v>
      </c>
      <c r="F64" s="103" t="s">
        <v>491</v>
      </c>
      <c r="G64" s="103" t="s">
        <v>985</v>
      </c>
      <c r="H64" s="103" t="s">
        <v>491</v>
      </c>
      <c r="I64" s="103" t="s">
        <v>491</v>
      </c>
      <c r="J64" s="103" t="s">
        <v>491</v>
      </c>
      <c r="K64" s="103" t="s">
        <v>491</v>
      </c>
      <c r="L64" s="103" t="s">
        <v>985</v>
      </c>
      <c r="M64" s="103" t="s">
        <v>985</v>
      </c>
      <c r="N64" s="103" t="s">
        <v>491</v>
      </c>
      <c r="O64" s="103" t="s">
        <v>491</v>
      </c>
      <c r="P64" s="104" t="s">
        <v>986</v>
      </c>
      <c r="Q64" s="103" t="s">
        <v>491</v>
      </c>
      <c r="R64" s="104" t="s">
        <v>1014</v>
      </c>
      <c r="S64" s="103" t="s">
        <v>491</v>
      </c>
      <c r="T64" s="105"/>
    </row>
    <row r="65" ht="15.75" customHeight="1">
      <c r="A65" s="103" t="s">
        <v>192</v>
      </c>
      <c r="B65" s="103" t="s">
        <v>158</v>
      </c>
      <c r="C65" s="103" t="s">
        <v>491</v>
      </c>
      <c r="D65" s="103" t="s">
        <v>491</v>
      </c>
      <c r="E65" s="103" t="s">
        <v>491</v>
      </c>
      <c r="F65" s="103" t="s">
        <v>491</v>
      </c>
      <c r="G65" s="103" t="s">
        <v>985</v>
      </c>
      <c r="H65" s="103" t="s">
        <v>491</v>
      </c>
      <c r="I65" s="103" t="s">
        <v>491</v>
      </c>
      <c r="J65" s="103" t="s">
        <v>491</v>
      </c>
      <c r="K65" s="103" t="s">
        <v>491</v>
      </c>
      <c r="L65" s="103" t="s">
        <v>985</v>
      </c>
      <c r="M65" s="103" t="s">
        <v>985</v>
      </c>
      <c r="N65" s="103" t="s">
        <v>491</v>
      </c>
      <c r="O65" s="103" t="s">
        <v>491</v>
      </c>
      <c r="P65" s="104" t="s">
        <v>986</v>
      </c>
      <c r="Q65" s="103" t="s">
        <v>491</v>
      </c>
      <c r="R65" s="104" t="s">
        <v>1014</v>
      </c>
      <c r="S65" s="103" t="s">
        <v>491</v>
      </c>
      <c r="T65" s="105"/>
    </row>
    <row r="66" ht="15.75" customHeight="1">
      <c r="A66" s="103" t="s">
        <v>194</v>
      </c>
      <c r="B66" s="103" t="s">
        <v>158</v>
      </c>
      <c r="C66" s="103" t="s">
        <v>491</v>
      </c>
      <c r="D66" s="103" t="s">
        <v>491</v>
      </c>
      <c r="E66" s="103" t="s">
        <v>491</v>
      </c>
      <c r="F66" s="103" t="s">
        <v>491</v>
      </c>
      <c r="G66" s="103" t="s">
        <v>985</v>
      </c>
      <c r="H66" s="103" t="s">
        <v>491</v>
      </c>
      <c r="I66" s="103" t="s">
        <v>491</v>
      </c>
      <c r="J66" s="103" t="s">
        <v>491</v>
      </c>
      <c r="K66" s="103" t="s">
        <v>491</v>
      </c>
      <c r="L66" s="103" t="s">
        <v>985</v>
      </c>
      <c r="M66" s="103" t="s">
        <v>985</v>
      </c>
      <c r="N66" s="103" t="s">
        <v>491</v>
      </c>
      <c r="O66" s="103" t="s">
        <v>491</v>
      </c>
      <c r="P66" s="104" t="s">
        <v>986</v>
      </c>
      <c r="Q66" s="103" t="s">
        <v>491</v>
      </c>
      <c r="R66" s="104" t="s">
        <v>1014</v>
      </c>
      <c r="S66" s="103" t="s">
        <v>491</v>
      </c>
      <c r="T66" s="105"/>
    </row>
    <row r="67" ht="15.75" customHeight="1">
      <c r="A67" s="103" t="s">
        <v>196</v>
      </c>
      <c r="B67" s="103" t="s">
        <v>158</v>
      </c>
      <c r="C67" s="103" t="s">
        <v>491</v>
      </c>
      <c r="D67" s="103" t="s">
        <v>491</v>
      </c>
      <c r="E67" s="103" t="s">
        <v>491</v>
      </c>
      <c r="F67" s="103" t="s">
        <v>491</v>
      </c>
      <c r="G67" s="103" t="s">
        <v>985</v>
      </c>
      <c r="H67" s="103" t="s">
        <v>491</v>
      </c>
      <c r="I67" s="103" t="s">
        <v>491</v>
      </c>
      <c r="J67" s="103" t="s">
        <v>491</v>
      </c>
      <c r="K67" s="103" t="s">
        <v>491</v>
      </c>
      <c r="L67" s="103" t="s">
        <v>985</v>
      </c>
      <c r="M67" s="103" t="s">
        <v>985</v>
      </c>
      <c r="N67" s="103" t="s">
        <v>491</v>
      </c>
      <c r="O67" s="103" t="s">
        <v>491</v>
      </c>
      <c r="P67" s="104" t="s">
        <v>986</v>
      </c>
      <c r="Q67" s="103" t="s">
        <v>491</v>
      </c>
      <c r="R67" s="104" t="s">
        <v>1014</v>
      </c>
      <c r="S67" s="103" t="s">
        <v>491</v>
      </c>
      <c r="T67" s="105"/>
    </row>
    <row r="68" ht="15.75" customHeight="1">
      <c r="A68" s="103" t="s">
        <v>198</v>
      </c>
      <c r="B68" s="103" t="s">
        <v>158</v>
      </c>
      <c r="C68" s="103" t="s">
        <v>491</v>
      </c>
      <c r="D68" s="103" t="s">
        <v>491</v>
      </c>
      <c r="E68" s="103" t="s">
        <v>491</v>
      </c>
      <c r="F68" s="103" t="s">
        <v>491</v>
      </c>
      <c r="G68" s="103" t="s">
        <v>985</v>
      </c>
      <c r="H68" s="103" t="s">
        <v>491</v>
      </c>
      <c r="I68" s="103" t="s">
        <v>491</v>
      </c>
      <c r="J68" s="103" t="s">
        <v>491</v>
      </c>
      <c r="K68" s="103" t="s">
        <v>491</v>
      </c>
      <c r="L68" s="103" t="s">
        <v>985</v>
      </c>
      <c r="M68" s="103" t="s">
        <v>985</v>
      </c>
      <c r="N68" s="103" t="s">
        <v>491</v>
      </c>
      <c r="O68" s="103" t="s">
        <v>491</v>
      </c>
      <c r="P68" s="104" t="s">
        <v>986</v>
      </c>
      <c r="Q68" s="103" t="s">
        <v>491</v>
      </c>
      <c r="R68" s="104" t="s">
        <v>1014</v>
      </c>
      <c r="S68" s="103" t="s">
        <v>491</v>
      </c>
      <c r="T68" s="105"/>
    </row>
    <row r="69" ht="15.75" customHeight="1">
      <c r="A69" s="103" t="s">
        <v>200</v>
      </c>
      <c r="B69" s="103" t="s">
        <v>158</v>
      </c>
      <c r="C69" s="103" t="s">
        <v>491</v>
      </c>
      <c r="D69" s="103" t="s">
        <v>491</v>
      </c>
      <c r="E69" s="103" t="s">
        <v>491</v>
      </c>
      <c r="F69" s="103" t="s">
        <v>491</v>
      </c>
      <c r="G69" s="103" t="s">
        <v>985</v>
      </c>
      <c r="H69" s="103" t="s">
        <v>491</v>
      </c>
      <c r="I69" s="103" t="s">
        <v>491</v>
      </c>
      <c r="J69" s="103" t="s">
        <v>491</v>
      </c>
      <c r="K69" s="103" t="s">
        <v>491</v>
      </c>
      <c r="L69" s="103" t="s">
        <v>985</v>
      </c>
      <c r="M69" s="103" t="s">
        <v>985</v>
      </c>
      <c r="N69" s="103" t="s">
        <v>491</v>
      </c>
      <c r="O69" s="103" t="s">
        <v>491</v>
      </c>
      <c r="P69" s="104" t="s">
        <v>986</v>
      </c>
      <c r="Q69" s="103" t="s">
        <v>491</v>
      </c>
      <c r="R69" s="104" t="s">
        <v>1014</v>
      </c>
      <c r="S69" s="103" t="s">
        <v>491</v>
      </c>
      <c r="T69" s="105"/>
    </row>
    <row r="70" ht="15.75" customHeight="1">
      <c r="A70" s="103" t="s">
        <v>202</v>
      </c>
      <c r="B70" s="103" t="s">
        <v>158</v>
      </c>
      <c r="C70" s="103" t="s">
        <v>491</v>
      </c>
      <c r="D70" s="103" t="s">
        <v>491</v>
      </c>
      <c r="E70" s="103" t="s">
        <v>491</v>
      </c>
      <c r="F70" s="103" t="s">
        <v>491</v>
      </c>
      <c r="G70" s="103" t="s">
        <v>985</v>
      </c>
      <c r="H70" s="103" t="s">
        <v>491</v>
      </c>
      <c r="I70" s="103" t="s">
        <v>491</v>
      </c>
      <c r="J70" s="103" t="s">
        <v>491</v>
      </c>
      <c r="K70" s="103" t="s">
        <v>491</v>
      </c>
      <c r="L70" s="103" t="s">
        <v>985</v>
      </c>
      <c r="M70" s="103" t="s">
        <v>985</v>
      </c>
      <c r="N70" s="103" t="s">
        <v>491</v>
      </c>
      <c r="O70" s="103" t="s">
        <v>491</v>
      </c>
      <c r="P70" s="104" t="s">
        <v>986</v>
      </c>
      <c r="Q70" s="103" t="s">
        <v>491</v>
      </c>
      <c r="R70" s="104" t="s">
        <v>1014</v>
      </c>
      <c r="S70" s="103" t="s">
        <v>491</v>
      </c>
      <c r="T70" s="105"/>
    </row>
    <row r="71" ht="15.75" customHeight="1">
      <c r="A71" s="103" t="s">
        <v>204</v>
      </c>
      <c r="B71" s="103" t="s">
        <v>158</v>
      </c>
      <c r="C71" s="103" t="s">
        <v>491</v>
      </c>
      <c r="D71" s="103" t="s">
        <v>491</v>
      </c>
      <c r="E71" s="103" t="s">
        <v>491</v>
      </c>
      <c r="F71" s="103" t="s">
        <v>491</v>
      </c>
      <c r="G71" s="103" t="s">
        <v>985</v>
      </c>
      <c r="H71" s="103" t="s">
        <v>491</v>
      </c>
      <c r="I71" s="103" t="s">
        <v>491</v>
      </c>
      <c r="J71" s="103" t="s">
        <v>491</v>
      </c>
      <c r="K71" s="103" t="s">
        <v>491</v>
      </c>
      <c r="L71" s="103" t="s">
        <v>985</v>
      </c>
      <c r="M71" s="103" t="s">
        <v>985</v>
      </c>
      <c r="N71" s="103" t="s">
        <v>491</v>
      </c>
      <c r="O71" s="103" t="s">
        <v>491</v>
      </c>
      <c r="P71" s="104" t="s">
        <v>986</v>
      </c>
      <c r="Q71" s="103" t="s">
        <v>491</v>
      </c>
      <c r="R71" s="104" t="s">
        <v>1014</v>
      </c>
      <c r="S71" s="103" t="s">
        <v>491</v>
      </c>
      <c r="T71" s="105"/>
    </row>
    <row r="72" ht="15.75" customHeight="1">
      <c r="A72" s="103" t="s">
        <v>206</v>
      </c>
      <c r="B72" s="103" t="s">
        <v>158</v>
      </c>
      <c r="C72" s="103" t="s">
        <v>491</v>
      </c>
      <c r="D72" s="103" t="s">
        <v>491</v>
      </c>
      <c r="E72" s="103" t="s">
        <v>491</v>
      </c>
      <c r="F72" s="103" t="s">
        <v>491</v>
      </c>
      <c r="G72" s="103" t="s">
        <v>985</v>
      </c>
      <c r="H72" s="103" t="s">
        <v>491</v>
      </c>
      <c r="I72" s="103" t="s">
        <v>491</v>
      </c>
      <c r="J72" s="103" t="s">
        <v>491</v>
      </c>
      <c r="K72" s="103" t="s">
        <v>491</v>
      </c>
      <c r="L72" s="103" t="s">
        <v>985</v>
      </c>
      <c r="M72" s="103" t="s">
        <v>985</v>
      </c>
      <c r="N72" s="103" t="s">
        <v>491</v>
      </c>
      <c r="O72" s="103" t="s">
        <v>491</v>
      </c>
      <c r="P72" s="104" t="s">
        <v>986</v>
      </c>
      <c r="Q72" s="103" t="s">
        <v>491</v>
      </c>
      <c r="R72" s="104" t="s">
        <v>1014</v>
      </c>
      <c r="S72" s="103" t="s">
        <v>491</v>
      </c>
      <c r="T72" s="105"/>
    </row>
    <row r="73" ht="15.75" customHeight="1">
      <c r="A73" s="103" t="s">
        <v>208</v>
      </c>
      <c r="B73" s="103" t="s">
        <v>158</v>
      </c>
      <c r="C73" s="103" t="s">
        <v>491</v>
      </c>
      <c r="D73" s="103" t="s">
        <v>491</v>
      </c>
      <c r="E73" s="103" t="s">
        <v>491</v>
      </c>
      <c r="F73" s="103" t="s">
        <v>491</v>
      </c>
      <c r="G73" s="103" t="s">
        <v>985</v>
      </c>
      <c r="H73" s="103" t="s">
        <v>491</v>
      </c>
      <c r="I73" s="103" t="s">
        <v>491</v>
      </c>
      <c r="J73" s="103" t="s">
        <v>491</v>
      </c>
      <c r="K73" s="103" t="s">
        <v>491</v>
      </c>
      <c r="L73" s="103" t="s">
        <v>985</v>
      </c>
      <c r="M73" s="103" t="s">
        <v>985</v>
      </c>
      <c r="N73" s="103" t="s">
        <v>491</v>
      </c>
      <c r="O73" s="103" t="s">
        <v>491</v>
      </c>
      <c r="P73" s="104" t="s">
        <v>986</v>
      </c>
      <c r="Q73" s="103" t="s">
        <v>491</v>
      </c>
      <c r="R73" s="104" t="s">
        <v>1014</v>
      </c>
      <c r="S73" s="103" t="s">
        <v>491</v>
      </c>
      <c r="T73" s="105"/>
    </row>
    <row r="74" ht="15.75" customHeight="1">
      <c r="A74" s="103" t="s">
        <v>210</v>
      </c>
      <c r="B74" s="103" t="s">
        <v>158</v>
      </c>
      <c r="C74" s="103" t="s">
        <v>491</v>
      </c>
      <c r="D74" s="103" t="s">
        <v>491</v>
      </c>
      <c r="E74" s="103" t="s">
        <v>491</v>
      </c>
      <c r="F74" s="103" t="s">
        <v>491</v>
      </c>
      <c r="G74" s="103" t="s">
        <v>985</v>
      </c>
      <c r="H74" s="103" t="s">
        <v>491</v>
      </c>
      <c r="I74" s="103" t="s">
        <v>491</v>
      </c>
      <c r="J74" s="103" t="s">
        <v>491</v>
      </c>
      <c r="K74" s="103" t="s">
        <v>491</v>
      </c>
      <c r="L74" s="103" t="s">
        <v>985</v>
      </c>
      <c r="M74" s="103" t="s">
        <v>985</v>
      </c>
      <c r="N74" s="103" t="s">
        <v>491</v>
      </c>
      <c r="O74" s="103" t="s">
        <v>491</v>
      </c>
      <c r="P74" s="104" t="s">
        <v>986</v>
      </c>
      <c r="Q74" s="103" t="s">
        <v>491</v>
      </c>
      <c r="R74" s="104" t="s">
        <v>1014</v>
      </c>
      <c r="S74" s="103" t="s">
        <v>491</v>
      </c>
      <c r="T74" s="105"/>
    </row>
    <row r="75" ht="15.75" customHeight="1">
      <c r="A75" s="103" t="s">
        <v>212</v>
      </c>
      <c r="B75" s="103" t="s">
        <v>158</v>
      </c>
      <c r="C75" s="103" t="s">
        <v>985</v>
      </c>
      <c r="D75" s="103" t="s">
        <v>491</v>
      </c>
      <c r="E75" s="103" t="s">
        <v>491</v>
      </c>
      <c r="F75" s="103" t="s">
        <v>491</v>
      </c>
      <c r="G75" s="103" t="s">
        <v>985</v>
      </c>
      <c r="H75" s="103" t="s">
        <v>985</v>
      </c>
      <c r="I75" s="103" t="s">
        <v>491</v>
      </c>
      <c r="J75" s="103" t="s">
        <v>985</v>
      </c>
      <c r="K75" s="103" t="s">
        <v>985</v>
      </c>
      <c r="L75" s="103" t="s">
        <v>985</v>
      </c>
      <c r="M75" s="103" t="s">
        <v>985</v>
      </c>
      <c r="N75" s="103" t="s">
        <v>985</v>
      </c>
      <c r="O75" s="103" t="s">
        <v>491</v>
      </c>
      <c r="P75" s="104" t="s">
        <v>993</v>
      </c>
      <c r="Q75" s="103" t="s">
        <v>491</v>
      </c>
      <c r="R75" s="104" t="s">
        <v>1014</v>
      </c>
      <c r="S75" s="103" t="s">
        <v>491</v>
      </c>
      <c r="T75" s="105"/>
    </row>
    <row r="76" ht="15.75" customHeight="1">
      <c r="A76" s="103" t="s">
        <v>217</v>
      </c>
      <c r="B76" s="103" t="s">
        <v>158</v>
      </c>
      <c r="C76" s="103" t="s">
        <v>985</v>
      </c>
      <c r="D76" s="103" t="s">
        <v>491</v>
      </c>
      <c r="E76" s="103" t="s">
        <v>491</v>
      </c>
      <c r="F76" s="103" t="s">
        <v>491</v>
      </c>
      <c r="G76" s="103" t="s">
        <v>985</v>
      </c>
      <c r="H76" s="103" t="s">
        <v>985</v>
      </c>
      <c r="I76" s="103" t="s">
        <v>491</v>
      </c>
      <c r="J76" s="103" t="s">
        <v>985</v>
      </c>
      <c r="K76" s="103" t="s">
        <v>985</v>
      </c>
      <c r="L76" s="103" t="s">
        <v>985</v>
      </c>
      <c r="M76" s="103" t="s">
        <v>491</v>
      </c>
      <c r="N76" s="103" t="s">
        <v>985</v>
      </c>
      <c r="O76" s="103" t="s">
        <v>985</v>
      </c>
      <c r="P76" s="104" t="s">
        <v>993</v>
      </c>
      <c r="Q76" s="103" t="s">
        <v>491</v>
      </c>
      <c r="R76" s="104" t="s">
        <v>1014</v>
      </c>
      <c r="S76" s="103" t="s">
        <v>491</v>
      </c>
      <c r="T76" s="105"/>
    </row>
    <row r="77" ht="15.75" customHeight="1">
      <c r="A77" s="103" t="s">
        <v>219</v>
      </c>
      <c r="B77" s="103" t="s">
        <v>158</v>
      </c>
      <c r="C77" s="103" t="s">
        <v>491</v>
      </c>
      <c r="D77" s="103" t="s">
        <v>491</v>
      </c>
      <c r="E77" s="103" t="s">
        <v>491</v>
      </c>
      <c r="F77" s="103" t="s">
        <v>985</v>
      </c>
      <c r="G77" s="103" t="s">
        <v>491</v>
      </c>
      <c r="H77" s="103" t="s">
        <v>491</v>
      </c>
      <c r="I77" s="103" t="s">
        <v>491</v>
      </c>
      <c r="J77" s="103" t="s">
        <v>491</v>
      </c>
      <c r="K77" s="103" t="s">
        <v>985</v>
      </c>
      <c r="L77" s="103" t="s">
        <v>491</v>
      </c>
      <c r="M77" s="103" t="s">
        <v>491</v>
      </c>
      <c r="N77" s="103" t="s">
        <v>491</v>
      </c>
      <c r="O77" s="103" t="s">
        <v>491</v>
      </c>
      <c r="P77" s="104" t="s">
        <v>994</v>
      </c>
      <c r="Q77" s="103" t="s">
        <v>985</v>
      </c>
      <c r="R77" s="104" t="s">
        <v>1010</v>
      </c>
      <c r="S77" s="103" t="s">
        <v>491</v>
      </c>
      <c r="T77" s="105"/>
    </row>
    <row r="78" ht="15.75" customHeight="1">
      <c r="A78" s="103" t="s">
        <v>221</v>
      </c>
      <c r="B78" s="103" t="s">
        <v>158</v>
      </c>
      <c r="C78" s="103" t="s">
        <v>491</v>
      </c>
      <c r="D78" s="103" t="s">
        <v>491</v>
      </c>
      <c r="E78" s="103" t="s">
        <v>491</v>
      </c>
      <c r="F78" s="103" t="s">
        <v>985</v>
      </c>
      <c r="G78" s="103" t="s">
        <v>491</v>
      </c>
      <c r="H78" s="103" t="s">
        <v>491</v>
      </c>
      <c r="I78" s="103" t="s">
        <v>491</v>
      </c>
      <c r="J78" s="103" t="s">
        <v>491</v>
      </c>
      <c r="K78" s="103" t="s">
        <v>985</v>
      </c>
      <c r="L78" s="103" t="s">
        <v>491</v>
      </c>
      <c r="M78" s="103" t="s">
        <v>491</v>
      </c>
      <c r="N78" s="103" t="s">
        <v>491</v>
      </c>
      <c r="O78" s="103" t="s">
        <v>491</v>
      </c>
      <c r="P78" s="104" t="s">
        <v>994</v>
      </c>
      <c r="Q78" s="103" t="s">
        <v>985</v>
      </c>
      <c r="R78" s="104" t="s">
        <v>1010</v>
      </c>
      <c r="S78" s="103" t="s">
        <v>491</v>
      </c>
      <c r="T78" s="105"/>
    </row>
    <row r="79" ht="15.75" customHeight="1">
      <c r="A79" s="103" t="s">
        <v>223</v>
      </c>
      <c r="B79" s="103" t="s">
        <v>158</v>
      </c>
      <c r="C79" s="103" t="s">
        <v>491</v>
      </c>
      <c r="D79" s="103" t="s">
        <v>491</v>
      </c>
      <c r="E79" s="103" t="s">
        <v>491</v>
      </c>
      <c r="F79" s="103" t="s">
        <v>985</v>
      </c>
      <c r="G79" s="103" t="s">
        <v>491</v>
      </c>
      <c r="H79" s="103" t="s">
        <v>491</v>
      </c>
      <c r="I79" s="103" t="s">
        <v>491</v>
      </c>
      <c r="J79" s="103" t="s">
        <v>491</v>
      </c>
      <c r="K79" s="103" t="s">
        <v>985</v>
      </c>
      <c r="L79" s="103" t="s">
        <v>491</v>
      </c>
      <c r="M79" s="103" t="s">
        <v>491</v>
      </c>
      <c r="N79" s="103" t="s">
        <v>491</v>
      </c>
      <c r="O79" s="103" t="s">
        <v>491</v>
      </c>
      <c r="P79" s="104" t="s">
        <v>994</v>
      </c>
      <c r="Q79" s="103" t="s">
        <v>985</v>
      </c>
      <c r="R79" s="104" t="s">
        <v>1010</v>
      </c>
      <c r="S79" s="103" t="s">
        <v>491</v>
      </c>
      <c r="T79" s="105"/>
    </row>
    <row r="80" ht="15.75" customHeight="1">
      <c r="A80" s="103" t="s">
        <v>225</v>
      </c>
      <c r="B80" s="103" t="s">
        <v>158</v>
      </c>
      <c r="C80" s="103" t="s">
        <v>491</v>
      </c>
      <c r="D80" s="103" t="s">
        <v>491</v>
      </c>
      <c r="E80" s="103" t="s">
        <v>491</v>
      </c>
      <c r="F80" s="103" t="s">
        <v>985</v>
      </c>
      <c r="G80" s="103" t="s">
        <v>491</v>
      </c>
      <c r="H80" s="103" t="s">
        <v>491</v>
      </c>
      <c r="I80" s="103" t="s">
        <v>491</v>
      </c>
      <c r="J80" s="103" t="s">
        <v>491</v>
      </c>
      <c r="K80" s="103" t="s">
        <v>985</v>
      </c>
      <c r="L80" s="103" t="s">
        <v>491</v>
      </c>
      <c r="M80" s="103" t="s">
        <v>491</v>
      </c>
      <c r="N80" s="103" t="s">
        <v>491</v>
      </c>
      <c r="O80" s="103" t="s">
        <v>491</v>
      </c>
      <c r="P80" s="104" t="s">
        <v>994</v>
      </c>
      <c r="Q80" s="103" t="s">
        <v>985</v>
      </c>
      <c r="R80" s="104" t="s">
        <v>1010</v>
      </c>
      <c r="S80" s="103" t="s">
        <v>491</v>
      </c>
      <c r="T80" s="105"/>
    </row>
    <row r="81" ht="15.75" customHeight="1">
      <c r="A81" s="103" t="s">
        <v>227</v>
      </c>
      <c r="B81" s="103" t="s">
        <v>158</v>
      </c>
      <c r="C81" s="103" t="s">
        <v>491</v>
      </c>
      <c r="D81" s="103" t="s">
        <v>491</v>
      </c>
      <c r="E81" s="103" t="s">
        <v>491</v>
      </c>
      <c r="F81" s="103" t="s">
        <v>985</v>
      </c>
      <c r="G81" s="103" t="s">
        <v>491</v>
      </c>
      <c r="H81" s="103" t="s">
        <v>491</v>
      </c>
      <c r="I81" s="103" t="s">
        <v>491</v>
      </c>
      <c r="J81" s="103" t="s">
        <v>491</v>
      </c>
      <c r="K81" s="103" t="s">
        <v>985</v>
      </c>
      <c r="L81" s="103" t="s">
        <v>491</v>
      </c>
      <c r="M81" s="103" t="s">
        <v>491</v>
      </c>
      <c r="N81" s="103" t="s">
        <v>491</v>
      </c>
      <c r="O81" s="103" t="s">
        <v>491</v>
      </c>
      <c r="P81" s="104" t="s">
        <v>994</v>
      </c>
      <c r="Q81" s="103" t="s">
        <v>985</v>
      </c>
      <c r="R81" s="104" t="s">
        <v>1010</v>
      </c>
      <c r="S81" s="103" t="s">
        <v>491</v>
      </c>
      <c r="T81" s="105"/>
    </row>
    <row r="82" ht="15.75" customHeight="1">
      <c r="A82" s="103" t="s">
        <v>229</v>
      </c>
      <c r="B82" s="103" t="s">
        <v>158</v>
      </c>
      <c r="C82" s="103" t="s">
        <v>491</v>
      </c>
      <c r="D82" s="103" t="s">
        <v>491</v>
      </c>
      <c r="E82" s="103" t="s">
        <v>491</v>
      </c>
      <c r="F82" s="103" t="s">
        <v>985</v>
      </c>
      <c r="G82" s="103" t="s">
        <v>491</v>
      </c>
      <c r="H82" s="103" t="s">
        <v>491</v>
      </c>
      <c r="I82" s="103" t="s">
        <v>491</v>
      </c>
      <c r="J82" s="103" t="s">
        <v>491</v>
      </c>
      <c r="K82" s="103" t="s">
        <v>985</v>
      </c>
      <c r="L82" s="103" t="s">
        <v>491</v>
      </c>
      <c r="M82" s="103" t="s">
        <v>491</v>
      </c>
      <c r="N82" s="103" t="s">
        <v>491</v>
      </c>
      <c r="O82" s="103" t="s">
        <v>491</v>
      </c>
      <c r="P82" s="104" t="s">
        <v>994</v>
      </c>
      <c r="Q82" s="103" t="s">
        <v>985</v>
      </c>
      <c r="R82" s="104" t="s">
        <v>1010</v>
      </c>
      <c r="S82" s="103" t="s">
        <v>491</v>
      </c>
      <c r="T82" s="105"/>
    </row>
    <row r="83" ht="15.75" customHeight="1">
      <c r="A83" s="103" t="s">
        <v>231</v>
      </c>
      <c r="B83" s="103" t="s">
        <v>158</v>
      </c>
      <c r="C83" s="103" t="s">
        <v>491</v>
      </c>
      <c r="D83" s="103" t="s">
        <v>491</v>
      </c>
      <c r="E83" s="103" t="s">
        <v>491</v>
      </c>
      <c r="F83" s="103" t="s">
        <v>985</v>
      </c>
      <c r="G83" s="103" t="s">
        <v>491</v>
      </c>
      <c r="H83" s="103" t="s">
        <v>491</v>
      </c>
      <c r="I83" s="103" t="s">
        <v>491</v>
      </c>
      <c r="J83" s="103" t="s">
        <v>491</v>
      </c>
      <c r="K83" s="103" t="s">
        <v>985</v>
      </c>
      <c r="L83" s="103" t="s">
        <v>491</v>
      </c>
      <c r="M83" s="103" t="s">
        <v>491</v>
      </c>
      <c r="N83" s="103" t="s">
        <v>491</v>
      </c>
      <c r="O83" s="103" t="s">
        <v>491</v>
      </c>
      <c r="P83" s="104" t="s">
        <v>994</v>
      </c>
      <c r="Q83" s="103" t="s">
        <v>985</v>
      </c>
      <c r="R83" s="104" t="s">
        <v>1010</v>
      </c>
      <c r="S83" s="103" t="s">
        <v>491</v>
      </c>
      <c r="T83" s="105"/>
    </row>
    <row r="84" ht="15.75" customHeight="1">
      <c r="A84" s="103" t="s">
        <v>233</v>
      </c>
      <c r="B84" s="103" t="s">
        <v>158</v>
      </c>
      <c r="C84" s="103" t="s">
        <v>491</v>
      </c>
      <c r="D84" s="103" t="s">
        <v>491</v>
      </c>
      <c r="E84" s="103" t="s">
        <v>491</v>
      </c>
      <c r="F84" s="103" t="s">
        <v>985</v>
      </c>
      <c r="G84" s="103" t="s">
        <v>491</v>
      </c>
      <c r="H84" s="103" t="s">
        <v>491</v>
      </c>
      <c r="I84" s="103" t="s">
        <v>491</v>
      </c>
      <c r="J84" s="103" t="s">
        <v>491</v>
      </c>
      <c r="K84" s="103" t="s">
        <v>985</v>
      </c>
      <c r="L84" s="103" t="s">
        <v>491</v>
      </c>
      <c r="M84" s="103" t="s">
        <v>491</v>
      </c>
      <c r="N84" s="103" t="s">
        <v>491</v>
      </c>
      <c r="O84" s="103" t="s">
        <v>491</v>
      </c>
      <c r="P84" s="104" t="s">
        <v>994</v>
      </c>
      <c r="Q84" s="103" t="s">
        <v>985</v>
      </c>
      <c r="R84" s="104" t="s">
        <v>1010</v>
      </c>
      <c r="S84" s="103" t="s">
        <v>491</v>
      </c>
      <c r="T84" s="105"/>
    </row>
    <row r="85" ht="15.75" customHeight="1">
      <c r="A85" s="103" t="s">
        <v>235</v>
      </c>
      <c r="B85" s="103" t="s">
        <v>158</v>
      </c>
      <c r="C85" s="103" t="s">
        <v>491</v>
      </c>
      <c r="D85" s="103" t="s">
        <v>491</v>
      </c>
      <c r="E85" s="103" t="s">
        <v>491</v>
      </c>
      <c r="F85" s="103" t="s">
        <v>985</v>
      </c>
      <c r="G85" s="103" t="s">
        <v>491</v>
      </c>
      <c r="H85" s="103" t="s">
        <v>491</v>
      </c>
      <c r="I85" s="103" t="s">
        <v>491</v>
      </c>
      <c r="J85" s="103" t="s">
        <v>491</v>
      </c>
      <c r="K85" s="103" t="s">
        <v>985</v>
      </c>
      <c r="L85" s="103" t="s">
        <v>491</v>
      </c>
      <c r="M85" s="103" t="s">
        <v>491</v>
      </c>
      <c r="N85" s="103" t="s">
        <v>491</v>
      </c>
      <c r="O85" s="103" t="s">
        <v>491</v>
      </c>
      <c r="P85" s="104" t="s">
        <v>994</v>
      </c>
      <c r="Q85" s="103" t="s">
        <v>985</v>
      </c>
      <c r="R85" s="104" t="s">
        <v>1010</v>
      </c>
      <c r="S85" s="103" t="s">
        <v>491</v>
      </c>
      <c r="T85" s="105"/>
    </row>
    <row r="86" ht="15.75" customHeight="1">
      <c r="A86" s="103" t="s">
        <v>240</v>
      </c>
      <c r="B86" s="103" t="s">
        <v>158</v>
      </c>
      <c r="C86" s="103" t="s">
        <v>491</v>
      </c>
      <c r="D86" s="103" t="s">
        <v>491</v>
      </c>
      <c r="E86" s="103" t="s">
        <v>491</v>
      </c>
      <c r="F86" s="103" t="s">
        <v>985</v>
      </c>
      <c r="G86" s="103" t="s">
        <v>491</v>
      </c>
      <c r="H86" s="103" t="s">
        <v>491</v>
      </c>
      <c r="I86" s="103" t="s">
        <v>491</v>
      </c>
      <c r="J86" s="103" t="s">
        <v>491</v>
      </c>
      <c r="K86" s="103" t="s">
        <v>985</v>
      </c>
      <c r="L86" s="103" t="s">
        <v>491</v>
      </c>
      <c r="M86" s="103" t="s">
        <v>491</v>
      </c>
      <c r="N86" s="103" t="s">
        <v>491</v>
      </c>
      <c r="O86" s="103" t="s">
        <v>491</v>
      </c>
      <c r="P86" s="104" t="s">
        <v>994</v>
      </c>
      <c r="Q86" s="103" t="s">
        <v>985</v>
      </c>
      <c r="R86" s="104" t="s">
        <v>1010</v>
      </c>
      <c r="S86" s="103" t="s">
        <v>491</v>
      </c>
      <c r="T86" s="105"/>
    </row>
    <row r="87" ht="15.75" customHeight="1">
      <c r="A87" s="103" t="s">
        <v>242</v>
      </c>
      <c r="B87" s="103" t="s">
        <v>158</v>
      </c>
      <c r="C87" s="103" t="s">
        <v>491</v>
      </c>
      <c r="D87" s="103" t="s">
        <v>491</v>
      </c>
      <c r="E87" s="103" t="s">
        <v>491</v>
      </c>
      <c r="F87" s="103" t="s">
        <v>985</v>
      </c>
      <c r="G87" s="103" t="s">
        <v>491</v>
      </c>
      <c r="H87" s="103" t="s">
        <v>491</v>
      </c>
      <c r="I87" s="103" t="s">
        <v>491</v>
      </c>
      <c r="J87" s="103" t="s">
        <v>491</v>
      </c>
      <c r="K87" s="103" t="s">
        <v>985</v>
      </c>
      <c r="L87" s="103" t="s">
        <v>491</v>
      </c>
      <c r="M87" s="103" t="s">
        <v>491</v>
      </c>
      <c r="N87" s="103" t="s">
        <v>491</v>
      </c>
      <c r="O87" s="103" t="s">
        <v>491</v>
      </c>
      <c r="P87" s="104" t="s">
        <v>994</v>
      </c>
      <c r="Q87" s="103" t="s">
        <v>985</v>
      </c>
      <c r="R87" s="104" t="s">
        <v>1010</v>
      </c>
      <c r="S87" s="103" t="s">
        <v>491</v>
      </c>
      <c r="T87" s="105"/>
    </row>
    <row r="88" ht="15.75" customHeight="1">
      <c r="A88" s="103" t="s">
        <v>244</v>
      </c>
      <c r="B88" s="103" t="s">
        <v>158</v>
      </c>
      <c r="C88" s="103" t="s">
        <v>491</v>
      </c>
      <c r="D88" s="103" t="s">
        <v>491</v>
      </c>
      <c r="E88" s="103" t="s">
        <v>491</v>
      </c>
      <c r="F88" s="103" t="s">
        <v>985</v>
      </c>
      <c r="G88" s="103" t="s">
        <v>491</v>
      </c>
      <c r="H88" s="103" t="s">
        <v>491</v>
      </c>
      <c r="I88" s="103" t="s">
        <v>491</v>
      </c>
      <c r="J88" s="103" t="s">
        <v>491</v>
      </c>
      <c r="K88" s="103" t="s">
        <v>985</v>
      </c>
      <c r="L88" s="103" t="s">
        <v>491</v>
      </c>
      <c r="M88" s="103" t="s">
        <v>491</v>
      </c>
      <c r="N88" s="103" t="s">
        <v>491</v>
      </c>
      <c r="O88" s="103" t="s">
        <v>491</v>
      </c>
      <c r="P88" s="104" t="s">
        <v>994</v>
      </c>
      <c r="Q88" s="103" t="s">
        <v>985</v>
      </c>
      <c r="R88" s="104" t="s">
        <v>1010</v>
      </c>
      <c r="S88" s="103" t="s">
        <v>491</v>
      </c>
      <c r="T88" s="103" t="s">
        <v>691</v>
      </c>
    </row>
    <row r="89" ht="15.75" customHeight="1">
      <c r="A89" s="103" t="s">
        <v>246</v>
      </c>
      <c r="B89" s="103" t="s">
        <v>158</v>
      </c>
      <c r="C89" s="103" t="s">
        <v>491</v>
      </c>
      <c r="D89" s="103" t="s">
        <v>491</v>
      </c>
      <c r="E89" s="103" t="s">
        <v>491</v>
      </c>
      <c r="F89" s="103" t="s">
        <v>985</v>
      </c>
      <c r="G89" s="103" t="s">
        <v>491</v>
      </c>
      <c r="H89" s="103" t="s">
        <v>491</v>
      </c>
      <c r="I89" s="103" t="s">
        <v>491</v>
      </c>
      <c r="J89" s="103" t="s">
        <v>491</v>
      </c>
      <c r="K89" s="103" t="s">
        <v>985</v>
      </c>
      <c r="L89" s="103" t="s">
        <v>491</v>
      </c>
      <c r="M89" s="103" t="s">
        <v>491</v>
      </c>
      <c r="N89" s="103" t="s">
        <v>491</v>
      </c>
      <c r="O89" s="103" t="s">
        <v>491</v>
      </c>
      <c r="P89" s="104" t="s">
        <v>994</v>
      </c>
      <c r="Q89" s="103" t="s">
        <v>985</v>
      </c>
      <c r="R89" s="104" t="s">
        <v>996</v>
      </c>
      <c r="S89" s="103" t="s">
        <v>491</v>
      </c>
      <c r="T89" s="103" t="s">
        <v>691</v>
      </c>
    </row>
    <row r="90" ht="15.75" customHeight="1">
      <c r="A90" s="103" t="s">
        <v>248</v>
      </c>
      <c r="B90" s="103" t="s">
        <v>158</v>
      </c>
      <c r="C90" s="103" t="s">
        <v>491</v>
      </c>
      <c r="D90" s="103" t="s">
        <v>491</v>
      </c>
      <c r="E90" s="103" t="s">
        <v>491</v>
      </c>
      <c r="F90" s="103" t="s">
        <v>491</v>
      </c>
      <c r="G90" s="103" t="s">
        <v>491</v>
      </c>
      <c r="H90" s="103" t="s">
        <v>491</v>
      </c>
      <c r="I90" s="103" t="s">
        <v>491</v>
      </c>
      <c r="J90" s="103" t="s">
        <v>491</v>
      </c>
      <c r="K90" s="103" t="s">
        <v>985</v>
      </c>
      <c r="L90" s="103" t="s">
        <v>491</v>
      </c>
      <c r="M90" s="103" t="s">
        <v>491</v>
      </c>
      <c r="N90" s="103" t="s">
        <v>491</v>
      </c>
      <c r="O90" s="103" t="s">
        <v>491</v>
      </c>
      <c r="P90" s="104" t="s">
        <v>994</v>
      </c>
      <c r="Q90" s="103" t="s">
        <v>985</v>
      </c>
      <c r="R90" s="104" t="s">
        <v>1016</v>
      </c>
      <c r="S90" s="103" t="s">
        <v>491</v>
      </c>
      <c r="T90" s="103" t="s">
        <v>691</v>
      </c>
    </row>
    <row r="91" ht="15.75" customHeight="1">
      <c r="A91" s="103" t="s">
        <v>250</v>
      </c>
      <c r="B91" s="103" t="s">
        <v>158</v>
      </c>
      <c r="C91" s="103" t="s">
        <v>491</v>
      </c>
      <c r="D91" s="103" t="s">
        <v>491</v>
      </c>
      <c r="E91" s="103" t="s">
        <v>491</v>
      </c>
      <c r="F91" s="103" t="s">
        <v>491</v>
      </c>
      <c r="G91" s="103" t="s">
        <v>491</v>
      </c>
      <c r="H91" s="103" t="s">
        <v>491</v>
      </c>
      <c r="I91" s="103" t="s">
        <v>491</v>
      </c>
      <c r="J91" s="103" t="s">
        <v>491</v>
      </c>
      <c r="K91" s="103" t="s">
        <v>985</v>
      </c>
      <c r="L91" s="103" t="s">
        <v>491</v>
      </c>
      <c r="M91" s="103" t="s">
        <v>491</v>
      </c>
      <c r="N91" s="103" t="s">
        <v>491</v>
      </c>
      <c r="O91" s="103" t="s">
        <v>491</v>
      </c>
      <c r="P91" s="104" t="s">
        <v>994</v>
      </c>
      <c r="Q91" s="103" t="s">
        <v>985</v>
      </c>
      <c r="R91" s="104" t="s">
        <v>1016</v>
      </c>
      <c r="S91" s="103" t="s">
        <v>491</v>
      </c>
      <c r="T91" s="103" t="s">
        <v>691</v>
      </c>
    </row>
    <row r="92" ht="15.75" customHeight="1">
      <c r="A92" s="103" t="s">
        <v>252</v>
      </c>
      <c r="B92" s="103" t="s">
        <v>158</v>
      </c>
      <c r="C92" s="103" t="s">
        <v>491</v>
      </c>
      <c r="D92" s="103" t="s">
        <v>491</v>
      </c>
      <c r="E92" s="103" t="s">
        <v>491</v>
      </c>
      <c r="F92" s="103" t="s">
        <v>491</v>
      </c>
      <c r="G92" s="103" t="s">
        <v>491</v>
      </c>
      <c r="H92" s="103" t="s">
        <v>491</v>
      </c>
      <c r="I92" s="103" t="s">
        <v>491</v>
      </c>
      <c r="J92" s="103" t="s">
        <v>491</v>
      </c>
      <c r="K92" s="103" t="s">
        <v>985</v>
      </c>
      <c r="L92" s="103" t="s">
        <v>491</v>
      </c>
      <c r="M92" s="103" t="s">
        <v>491</v>
      </c>
      <c r="N92" s="103" t="s">
        <v>491</v>
      </c>
      <c r="O92" s="103" t="s">
        <v>491</v>
      </c>
      <c r="P92" s="104" t="s">
        <v>994</v>
      </c>
      <c r="Q92" s="103" t="s">
        <v>985</v>
      </c>
      <c r="R92" s="104" t="s">
        <v>1016</v>
      </c>
      <c r="S92" s="103" t="s">
        <v>491</v>
      </c>
      <c r="T92" s="103" t="s">
        <v>691</v>
      </c>
    </row>
    <row r="93" ht="15.75" customHeight="1">
      <c r="A93" s="103" t="s">
        <v>254</v>
      </c>
      <c r="B93" s="103" t="s">
        <v>158</v>
      </c>
      <c r="C93" s="103" t="s">
        <v>491</v>
      </c>
      <c r="D93" s="103" t="s">
        <v>491</v>
      </c>
      <c r="E93" s="103" t="s">
        <v>491</v>
      </c>
      <c r="F93" s="103" t="s">
        <v>491</v>
      </c>
      <c r="G93" s="103" t="s">
        <v>491</v>
      </c>
      <c r="H93" s="103" t="s">
        <v>491</v>
      </c>
      <c r="I93" s="103" t="s">
        <v>491</v>
      </c>
      <c r="J93" s="103" t="s">
        <v>985</v>
      </c>
      <c r="K93" s="103" t="s">
        <v>985</v>
      </c>
      <c r="L93" s="103" t="s">
        <v>985</v>
      </c>
      <c r="M93" s="103" t="s">
        <v>491</v>
      </c>
      <c r="N93" s="103" t="s">
        <v>491</v>
      </c>
      <c r="O93" s="103" t="s">
        <v>491</v>
      </c>
      <c r="P93" s="104" t="s">
        <v>994</v>
      </c>
      <c r="Q93" s="103" t="s">
        <v>985</v>
      </c>
      <c r="R93" s="104" t="s">
        <v>1016</v>
      </c>
      <c r="S93" s="103" t="s">
        <v>491</v>
      </c>
      <c r="T93" s="103" t="s">
        <v>691</v>
      </c>
    </row>
    <row r="94" ht="15.75" customHeight="1">
      <c r="A94" s="109" t="s">
        <v>256</v>
      </c>
      <c r="B94" s="109" t="s">
        <v>257</v>
      </c>
      <c r="C94" s="109" t="s">
        <v>491</v>
      </c>
      <c r="D94" s="109" t="s">
        <v>491</v>
      </c>
      <c r="E94" s="109" t="s">
        <v>491</v>
      </c>
      <c r="F94" s="109" t="s">
        <v>491</v>
      </c>
      <c r="G94" s="109" t="s">
        <v>491</v>
      </c>
      <c r="H94" s="109" t="s">
        <v>491</v>
      </c>
      <c r="I94" s="109" t="s">
        <v>491</v>
      </c>
      <c r="J94" s="109" t="s">
        <v>491</v>
      </c>
      <c r="K94" s="109" t="s">
        <v>985</v>
      </c>
      <c r="L94" s="109" t="s">
        <v>491</v>
      </c>
      <c r="M94" s="109" t="s">
        <v>491</v>
      </c>
      <c r="N94" s="109" t="s">
        <v>491</v>
      </c>
      <c r="O94" s="109" t="s">
        <v>491</v>
      </c>
      <c r="P94" s="110" t="s">
        <v>994</v>
      </c>
      <c r="Q94" s="109" t="s">
        <v>985</v>
      </c>
      <c r="R94" s="110" t="s">
        <v>996</v>
      </c>
      <c r="S94" s="109" t="s">
        <v>491</v>
      </c>
      <c r="T94" s="109" t="s">
        <v>691</v>
      </c>
    </row>
    <row r="95" ht="15.75" customHeight="1">
      <c r="A95" s="109" t="s">
        <v>261</v>
      </c>
      <c r="B95" s="109" t="s">
        <v>257</v>
      </c>
      <c r="C95" s="109" t="s">
        <v>491</v>
      </c>
      <c r="D95" s="109" t="s">
        <v>491</v>
      </c>
      <c r="E95" s="109" t="s">
        <v>491</v>
      </c>
      <c r="F95" s="109" t="s">
        <v>985</v>
      </c>
      <c r="G95" s="109" t="s">
        <v>491</v>
      </c>
      <c r="H95" s="109" t="s">
        <v>491</v>
      </c>
      <c r="I95" s="109" t="s">
        <v>491</v>
      </c>
      <c r="J95" s="109" t="s">
        <v>491</v>
      </c>
      <c r="K95" s="109" t="s">
        <v>985</v>
      </c>
      <c r="L95" s="109" t="s">
        <v>491</v>
      </c>
      <c r="M95" s="109" t="s">
        <v>491</v>
      </c>
      <c r="N95" s="109" t="s">
        <v>491</v>
      </c>
      <c r="O95" s="109" t="s">
        <v>491</v>
      </c>
      <c r="P95" s="110" t="s">
        <v>994</v>
      </c>
      <c r="Q95" s="109" t="s">
        <v>985</v>
      </c>
      <c r="R95" s="110" t="s">
        <v>987</v>
      </c>
      <c r="S95" s="109" t="s">
        <v>491</v>
      </c>
      <c r="T95" s="109" t="s">
        <v>691</v>
      </c>
    </row>
    <row r="96" ht="15.75" customHeight="1">
      <c r="A96" s="109" t="s">
        <v>263</v>
      </c>
      <c r="B96" s="109" t="s">
        <v>257</v>
      </c>
      <c r="C96" s="109" t="s">
        <v>491</v>
      </c>
      <c r="D96" s="109" t="s">
        <v>491</v>
      </c>
      <c r="E96" s="109" t="s">
        <v>491</v>
      </c>
      <c r="F96" s="109" t="s">
        <v>985</v>
      </c>
      <c r="G96" s="109" t="s">
        <v>491</v>
      </c>
      <c r="H96" s="109" t="s">
        <v>491</v>
      </c>
      <c r="I96" s="109" t="s">
        <v>491</v>
      </c>
      <c r="J96" s="109" t="s">
        <v>491</v>
      </c>
      <c r="K96" s="109" t="s">
        <v>985</v>
      </c>
      <c r="L96" s="109" t="s">
        <v>491</v>
      </c>
      <c r="M96" s="109" t="s">
        <v>491</v>
      </c>
      <c r="N96" s="109" t="s">
        <v>491</v>
      </c>
      <c r="O96" s="109" t="s">
        <v>491</v>
      </c>
      <c r="P96" s="110" t="s">
        <v>994</v>
      </c>
      <c r="Q96" s="109" t="s">
        <v>985</v>
      </c>
      <c r="R96" s="110" t="s">
        <v>1010</v>
      </c>
      <c r="S96" s="109" t="s">
        <v>491</v>
      </c>
      <c r="T96" s="109" t="s">
        <v>1017</v>
      </c>
    </row>
    <row r="97" ht="15.75" customHeight="1">
      <c r="A97" s="109" t="s">
        <v>265</v>
      </c>
      <c r="B97" s="109" t="s">
        <v>257</v>
      </c>
      <c r="C97" s="109" t="s">
        <v>985</v>
      </c>
      <c r="D97" s="109" t="s">
        <v>491</v>
      </c>
      <c r="E97" s="109" t="s">
        <v>491</v>
      </c>
      <c r="F97" s="109" t="s">
        <v>491</v>
      </c>
      <c r="G97" s="109" t="s">
        <v>985</v>
      </c>
      <c r="H97" s="109" t="s">
        <v>985</v>
      </c>
      <c r="I97" s="109" t="s">
        <v>491</v>
      </c>
      <c r="J97" s="109" t="s">
        <v>985</v>
      </c>
      <c r="K97" s="109" t="s">
        <v>985</v>
      </c>
      <c r="L97" s="109" t="s">
        <v>985</v>
      </c>
      <c r="M97" s="109" t="s">
        <v>985</v>
      </c>
      <c r="N97" s="109" t="s">
        <v>985</v>
      </c>
      <c r="O97" s="109" t="s">
        <v>985</v>
      </c>
      <c r="P97" s="110" t="s">
        <v>993</v>
      </c>
      <c r="Q97" s="109" t="s">
        <v>985</v>
      </c>
      <c r="R97" s="110" t="s">
        <v>987</v>
      </c>
      <c r="S97" s="109" t="s">
        <v>491</v>
      </c>
      <c r="T97" s="111"/>
    </row>
    <row r="98" ht="15.75" customHeight="1">
      <c r="A98" s="109" t="s">
        <v>267</v>
      </c>
      <c r="B98" s="109" t="s">
        <v>257</v>
      </c>
      <c r="C98" s="109" t="s">
        <v>985</v>
      </c>
      <c r="D98" s="109" t="s">
        <v>491</v>
      </c>
      <c r="E98" s="109" t="s">
        <v>491</v>
      </c>
      <c r="F98" s="109" t="s">
        <v>491</v>
      </c>
      <c r="G98" s="109" t="s">
        <v>985</v>
      </c>
      <c r="H98" s="109" t="s">
        <v>985</v>
      </c>
      <c r="I98" s="109" t="s">
        <v>491</v>
      </c>
      <c r="J98" s="109" t="s">
        <v>985</v>
      </c>
      <c r="K98" s="109" t="s">
        <v>985</v>
      </c>
      <c r="L98" s="109" t="s">
        <v>985</v>
      </c>
      <c r="M98" s="109" t="s">
        <v>985</v>
      </c>
      <c r="N98" s="109" t="s">
        <v>985</v>
      </c>
      <c r="O98" s="109" t="s">
        <v>985</v>
      </c>
      <c r="P98" s="110" t="s">
        <v>993</v>
      </c>
      <c r="Q98" s="109" t="s">
        <v>985</v>
      </c>
      <c r="R98" s="110" t="s">
        <v>987</v>
      </c>
      <c r="S98" s="109" t="s">
        <v>491</v>
      </c>
      <c r="T98" s="111"/>
    </row>
    <row r="99" ht="15.75" customHeight="1">
      <c r="A99" s="109" t="s">
        <v>269</v>
      </c>
      <c r="B99" s="109" t="s">
        <v>257</v>
      </c>
      <c r="C99" s="109" t="s">
        <v>985</v>
      </c>
      <c r="D99" s="109" t="s">
        <v>491</v>
      </c>
      <c r="E99" s="109" t="s">
        <v>491</v>
      </c>
      <c r="F99" s="109" t="s">
        <v>491</v>
      </c>
      <c r="G99" s="109" t="s">
        <v>985</v>
      </c>
      <c r="H99" s="109" t="s">
        <v>985</v>
      </c>
      <c r="I99" s="109" t="s">
        <v>491</v>
      </c>
      <c r="J99" s="109" t="s">
        <v>985</v>
      </c>
      <c r="K99" s="109" t="s">
        <v>985</v>
      </c>
      <c r="L99" s="109" t="s">
        <v>985</v>
      </c>
      <c r="M99" s="109" t="s">
        <v>985</v>
      </c>
      <c r="N99" s="109" t="s">
        <v>985</v>
      </c>
      <c r="O99" s="109" t="s">
        <v>985</v>
      </c>
      <c r="P99" s="110" t="s">
        <v>993</v>
      </c>
      <c r="Q99" s="109" t="s">
        <v>985</v>
      </c>
      <c r="R99" s="110" t="s">
        <v>987</v>
      </c>
      <c r="S99" s="109" t="s">
        <v>491</v>
      </c>
      <c r="T99" s="111"/>
    </row>
    <row r="100" ht="15.75" customHeight="1">
      <c r="A100" s="109" t="s">
        <v>271</v>
      </c>
      <c r="B100" s="109" t="s">
        <v>257</v>
      </c>
      <c r="C100" s="109" t="s">
        <v>985</v>
      </c>
      <c r="D100" s="109" t="s">
        <v>491</v>
      </c>
      <c r="E100" s="109" t="s">
        <v>491</v>
      </c>
      <c r="F100" s="109" t="s">
        <v>491</v>
      </c>
      <c r="G100" s="109" t="s">
        <v>985</v>
      </c>
      <c r="H100" s="109" t="s">
        <v>985</v>
      </c>
      <c r="I100" s="109" t="s">
        <v>491</v>
      </c>
      <c r="J100" s="109" t="s">
        <v>985</v>
      </c>
      <c r="K100" s="109" t="s">
        <v>985</v>
      </c>
      <c r="L100" s="109" t="s">
        <v>985</v>
      </c>
      <c r="M100" s="109" t="s">
        <v>985</v>
      </c>
      <c r="N100" s="109" t="s">
        <v>985</v>
      </c>
      <c r="O100" s="109" t="s">
        <v>985</v>
      </c>
      <c r="P100" s="110" t="s">
        <v>993</v>
      </c>
      <c r="Q100" s="109" t="s">
        <v>985</v>
      </c>
      <c r="R100" s="110" t="s">
        <v>987</v>
      </c>
      <c r="S100" s="109" t="s">
        <v>491</v>
      </c>
      <c r="T100" s="111"/>
    </row>
    <row r="101" ht="15.75" customHeight="1">
      <c r="A101" s="109" t="s">
        <v>274</v>
      </c>
      <c r="B101" s="109" t="s">
        <v>257</v>
      </c>
      <c r="C101" s="109" t="s">
        <v>985</v>
      </c>
      <c r="D101" s="109" t="s">
        <v>491</v>
      </c>
      <c r="E101" s="109" t="s">
        <v>491</v>
      </c>
      <c r="F101" s="109" t="s">
        <v>491</v>
      </c>
      <c r="G101" s="109" t="s">
        <v>985</v>
      </c>
      <c r="H101" s="109" t="s">
        <v>985</v>
      </c>
      <c r="I101" s="109" t="s">
        <v>491</v>
      </c>
      <c r="J101" s="109" t="s">
        <v>491</v>
      </c>
      <c r="K101" s="109" t="s">
        <v>985</v>
      </c>
      <c r="L101" s="109" t="s">
        <v>985</v>
      </c>
      <c r="M101" s="109" t="s">
        <v>985</v>
      </c>
      <c r="N101" s="109" t="s">
        <v>985</v>
      </c>
      <c r="O101" s="109" t="s">
        <v>985</v>
      </c>
      <c r="P101" s="110" t="s">
        <v>993</v>
      </c>
      <c r="Q101" s="109" t="s">
        <v>985</v>
      </c>
      <c r="R101" s="110" t="s">
        <v>987</v>
      </c>
      <c r="S101" s="109" t="s">
        <v>491</v>
      </c>
      <c r="T101" s="111"/>
    </row>
    <row r="102" ht="15.75" customHeight="1">
      <c r="A102" s="109" t="s">
        <v>276</v>
      </c>
      <c r="B102" s="109" t="s">
        <v>257</v>
      </c>
      <c r="C102" s="109" t="s">
        <v>985</v>
      </c>
      <c r="D102" s="109" t="s">
        <v>491</v>
      </c>
      <c r="E102" s="109" t="s">
        <v>491</v>
      </c>
      <c r="F102" s="109" t="s">
        <v>491</v>
      </c>
      <c r="G102" s="109" t="s">
        <v>985</v>
      </c>
      <c r="H102" s="109" t="s">
        <v>985</v>
      </c>
      <c r="I102" s="109" t="s">
        <v>491</v>
      </c>
      <c r="J102" s="109" t="s">
        <v>491</v>
      </c>
      <c r="K102" s="109" t="s">
        <v>985</v>
      </c>
      <c r="L102" s="109" t="s">
        <v>985</v>
      </c>
      <c r="M102" s="109" t="s">
        <v>985</v>
      </c>
      <c r="N102" s="109" t="s">
        <v>985</v>
      </c>
      <c r="O102" s="109" t="s">
        <v>985</v>
      </c>
      <c r="P102" s="110" t="s">
        <v>993</v>
      </c>
      <c r="Q102" s="109" t="s">
        <v>985</v>
      </c>
      <c r="R102" s="110" t="s">
        <v>987</v>
      </c>
      <c r="S102" s="109" t="s">
        <v>491</v>
      </c>
      <c r="T102" s="111"/>
    </row>
    <row r="103" ht="15.75" customHeight="1">
      <c r="A103" s="109" t="s">
        <v>278</v>
      </c>
      <c r="B103" s="109" t="s">
        <v>257</v>
      </c>
      <c r="C103" s="109" t="s">
        <v>985</v>
      </c>
      <c r="D103" s="109" t="s">
        <v>491</v>
      </c>
      <c r="E103" s="109" t="s">
        <v>491</v>
      </c>
      <c r="F103" s="109" t="s">
        <v>491</v>
      </c>
      <c r="G103" s="109" t="s">
        <v>985</v>
      </c>
      <c r="H103" s="109" t="s">
        <v>985</v>
      </c>
      <c r="I103" s="109" t="s">
        <v>491</v>
      </c>
      <c r="J103" s="109" t="s">
        <v>985</v>
      </c>
      <c r="K103" s="109" t="s">
        <v>985</v>
      </c>
      <c r="L103" s="109" t="s">
        <v>985</v>
      </c>
      <c r="M103" s="109" t="s">
        <v>985</v>
      </c>
      <c r="N103" s="109" t="s">
        <v>985</v>
      </c>
      <c r="O103" s="109" t="s">
        <v>985</v>
      </c>
      <c r="P103" s="110" t="s">
        <v>993</v>
      </c>
      <c r="Q103" s="109" t="s">
        <v>985</v>
      </c>
      <c r="R103" s="110" t="s">
        <v>987</v>
      </c>
      <c r="S103" s="109" t="s">
        <v>491</v>
      </c>
      <c r="T103" s="111"/>
    </row>
    <row r="104" ht="15.75" customHeight="1">
      <c r="A104" s="109" t="s">
        <v>280</v>
      </c>
      <c r="B104" s="109" t="s">
        <v>257</v>
      </c>
      <c r="C104" s="109" t="s">
        <v>985</v>
      </c>
      <c r="D104" s="109" t="s">
        <v>491</v>
      </c>
      <c r="E104" s="109" t="s">
        <v>985</v>
      </c>
      <c r="F104" s="109" t="s">
        <v>491</v>
      </c>
      <c r="G104" s="109" t="s">
        <v>985</v>
      </c>
      <c r="H104" s="109" t="s">
        <v>985</v>
      </c>
      <c r="I104" s="109" t="s">
        <v>985</v>
      </c>
      <c r="J104" s="109" t="s">
        <v>491</v>
      </c>
      <c r="K104" s="109" t="s">
        <v>985</v>
      </c>
      <c r="L104" s="109" t="s">
        <v>985</v>
      </c>
      <c r="M104" s="109" t="s">
        <v>985</v>
      </c>
      <c r="N104" s="109" t="s">
        <v>985</v>
      </c>
      <c r="O104" s="109" t="s">
        <v>985</v>
      </c>
      <c r="P104" s="110" t="s">
        <v>999</v>
      </c>
      <c r="Q104" s="109" t="s">
        <v>985</v>
      </c>
      <c r="R104" s="110" t="s">
        <v>1013</v>
      </c>
      <c r="S104" s="109" t="s">
        <v>491</v>
      </c>
      <c r="T104" s="109" t="s">
        <v>1018</v>
      </c>
    </row>
    <row r="105" ht="15.75" customHeight="1">
      <c r="A105" s="109" t="s">
        <v>281</v>
      </c>
      <c r="B105" s="109" t="s">
        <v>257</v>
      </c>
      <c r="C105" s="109" t="s">
        <v>985</v>
      </c>
      <c r="D105" s="109" t="s">
        <v>491</v>
      </c>
      <c r="E105" s="109" t="s">
        <v>491</v>
      </c>
      <c r="F105" s="109" t="s">
        <v>491</v>
      </c>
      <c r="G105" s="109" t="s">
        <v>985</v>
      </c>
      <c r="H105" s="109" t="s">
        <v>985</v>
      </c>
      <c r="I105" s="109" t="s">
        <v>985</v>
      </c>
      <c r="J105" s="109" t="s">
        <v>985</v>
      </c>
      <c r="K105" s="109" t="s">
        <v>985</v>
      </c>
      <c r="L105" s="109" t="s">
        <v>985</v>
      </c>
      <c r="M105" s="109" t="s">
        <v>985</v>
      </c>
      <c r="N105" s="109" t="s">
        <v>985</v>
      </c>
      <c r="O105" s="109" t="s">
        <v>985</v>
      </c>
      <c r="P105" s="110" t="s">
        <v>993</v>
      </c>
      <c r="Q105" s="109" t="s">
        <v>985</v>
      </c>
      <c r="R105" s="110" t="s">
        <v>987</v>
      </c>
      <c r="S105" s="109" t="s">
        <v>491</v>
      </c>
      <c r="T105" s="109" t="s">
        <v>1019</v>
      </c>
    </row>
    <row r="106" ht="15.75" customHeight="1">
      <c r="A106" s="109" t="s">
        <v>282</v>
      </c>
      <c r="B106" s="109" t="s">
        <v>257</v>
      </c>
      <c r="C106" s="109" t="s">
        <v>985</v>
      </c>
      <c r="D106" s="109" t="s">
        <v>491</v>
      </c>
      <c r="E106" s="109" t="s">
        <v>985</v>
      </c>
      <c r="F106" s="109" t="s">
        <v>491</v>
      </c>
      <c r="G106" s="109" t="s">
        <v>985</v>
      </c>
      <c r="H106" s="109" t="s">
        <v>985</v>
      </c>
      <c r="I106" s="109" t="s">
        <v>985</v>
      </c>
      <c r="J106" s="109" t="s">
        <v>491</v>
      </c>
      <c r="K106" s="109" t="s">
        <v>985</v>
      </c>
      <c r="L106" s="109" t="s">
        <v>985</v>
      </c>
      <c r="M106" s="109" t="s">
        <v>985</v>
      </c>
      <c r="N106" s="109" t="s">
        <v>491</v>
      </c>
      <c r="O106" s="109" t="s">
        <v>491</v>
      </c>
      <c r="P106" s="110" t="s">
        <v>1004</v>
      </c>
      <c r="Q106" s="109" t="s">
        <v>985</v>
      </c>
      <c r="R106" s="110" t="s">
        <v>996</v>
      </c>
      <c r="S106" s="109" t="s">
        <v>491</v>
      </c>
      <c r="T106" s="109" t="s">
        <v>1020</v>
      </c>
    </row>
    <row r="107" ht="15.75" customHeight="1">
      <c r="A107" s="109" t="s">
        <v>287</v>
      </c>
      <c r="B107" s="109" t="s">
        <v>257</v>
      </c>
      <c r="C107" s="109" t="s">
        <v>985</v>
      </c>
      <c r="D107" s="109" t="s">
        <v>491</v>
      </c>
      <c r="E107" s="109" t="s">
        <v>491</v>
      </c>
      <c r="F107" s="109" t="s">
        <v>491</v>
      </c>
      <c r="G107" s="109" t="s">
        <v>985</v>
      </c>
      <c r="H107" s="109" t="s">
        <v>985</v>
      </c>
      <c r="I107" s="109" t="s">
        <v>491</v>
      </c>
      <c r="J107" s="109" t="s">
        <v>491</v>
      </c>
      <c r="K107" s="109" t="s">
        <v>985</v>
      </c>
      <c r="L107" s="109" t="s">
        <v>985</v>
      </c>
      <c r="M107" s="109" t="s">
        <v>491</v>
      </c>
      <c r="N107" s="109" t="s">
        <v>985</v>
      </c>
      <c r="O107" s="109" t="s">
        <v>985</v>
      </c>
      <c r="P107" s="110" t="s">
        <v>993</v>
      </c>
      <c r="Q107" s="109" t="s">
        <v>491</v>
      </c>
      <c r="R107" s="111"/>
      <c r="S107" s="109" t="s">
        <v>491</v>
      </c>
      <c r="T107" s="109" t="s">
        <v>691</v>
      </c>
    </row>
    <row r="108" ht="15.75" customHeight="1">
      <c r="A108" s="109" t="s">
        <v>289</v>
      </c>
      <c r="B108" s="109" t="s">
        <v>257</v>
      </c>
      <c r="C108" s="109" t="s">
        <v>985</v>
      </c>
      <c r="D108" s="109" t="s">
        <v>491</v>
      </c>
      <c r="E108" s="109" t="s">
        <v>491</v>
      </c>
      <c r="F108" s="109" t="s">
        <v>491</v>
      </c>
      <c r="G108" s="109" t="s">
        <v>985</v>
      </c>
      <c r="H108" s="109" t="s">
        <v>985</v>
      </c>
      <c r="I108" s="109" t="s">
        <v>491</v>
      </c>
      <c r="J108" s="109" t="s">
        <v>491</v>
      </c>
      <c r="K108" s="109" t="s">
        <v>985</v>
      </c>
      <c r="L108" s="109" t="s">
        <v>985</v>
      </c>
      <c r="M108" s="109" t="s">
        <v>491</v>
      </c>
      <c r="N108" s="109" t="s">
        <v>985</v>
      </c>
      <c r="O108" s="109" t="s">
        <v>985</v>
      </c>
      <c r="P108" s="110" t="s">
        <v>993</v>
      </c>
      <c r="Q108" s="109" t="s">
        <v>985</v>
      </c>
      <c r="R108" s="110" t="s">
        <v>987</v>
      </c>
      <c r="S108" s="109" t="s">
        <v>491</v>
      </c>
      <c r="T108" s="109" t="s">
        <v>691</v>
      </c>
    </row>
    <row r="109" ht="15.75" customHeight="1">
      <c r="A109" s="109" t="s">
        <v>291</v>
      </c>
      <c r="B109" s="109" t="s">
        <v>257</v>
      </c>
      <c r="C109" s="109" t="s">
        <v>985</v>
      </c>
      <c r="D109" s="109" t="s">
        <v>491</v>
      </c>
      <c r="E109" s="109" t="s">
        <v>491</v>
      </c>
      <c r="F109" s="109" t="s">
        <v>491</v>
      </c>
      <c r="G109" s="109" t="s">
        <v>985</v>
      </c>
      <c r="H109" s="109" t="s">
        <v>985</v>
      </c>
      <c r="I109" s="109" t="s">
        <v>491</v>
      </c>
      <c r="J109" s="109" t="s">
        <v>491</v>
      </c>
      <c r="K109" s="109" t="s">
        <v>985</v>
      </c>
      <c r="L109" s="109" t="s">
        <v>985</v>
      </c>
      <c r="M109" s="109" t="s">
        <v>491</v>
      </c>
      <c r="N109" s="109" t="s">
        <v>985</v>
      </c>
      <c r="O109" s="109" t="s">
        <v>985</v>
      </c>
      <c r="P109" s="110" t="s">
        <v>993</v>
      </c>
      <c r="Q109" s="109" t="s">
        <v>491</v>
      </c>
      <c r="R109" s="111"/>
      <c r="S109" s="109" t="s">
        <v>491</v>
      </c>
      <c r="T109" s="109" t="s">
        <v>691</v>
      </c>
    </row>
    <row r="110" ht="15.75" customHeight="1">
      <c r="A110" s="109" t="s">
        <v>293</v>
      </c>
      <c r="B110" s="109" t="s">
        <v>257</v>
      </c>
      <c r="C110" s="109" t="s">
        <v>985</v>
      </c>
      <c r="D110" s="109" t="s">
        <v>491</v>
      </c>
      <c r="E110" s="109" t="s">
        <v>491</v>
      </c>
      <c r="F110" s="109" t="s">
        <v>491</v>
      </c>
      <c r="G110" s="109" t="s">
        <v>985</v>
      </c>
      <c r="H110" s="109" t="s">
        <v>985</v>
      </c>
      <c r="I110" s="109" t="s">
        <v>491</v>
      </c>
      <c r="J110" s="109" t="s">
        <v>985</v>
      </c>
      <c r="K110" s="109" t="s">
        <v>985</v>
      </c>
      <c r="L110" s="109" t="s">
        <v>985</v>
      </c>
      <c r="M110" s="109" t="s">
        <v>985</v>
      </c>
      <c r="N110" s="109" t="s">
        <v>985</v>
      </c>
      <c r="O110" s="109" t="s">
        <v>985</v>
      </c>
      <c r="P110" s="110" t="s">
        <v>993</v>
      </c>
      <c r="Q110" s="109" t="s">
        <v>985</v>
      </c>
      <c r="R110" s="110" t="s">
        <v>987</v>
      </c>
      <c r="S110" s="109" t="s">
        <v>491</v>
      </c>
      <c r="T110" s="109" t="s">
        <v>691</v>
      </c>
    </row>
    <row r="111" ht="15.75" customHeight="1">
      <c r="A111" s="109" t="s">
        <v>295</v>
      </c>
      <c r="B111" s="109" t="s">
        <v>257</v>
      </c>
      <c r="C111" s="109" t="s">
        <v>985</v>
      </c>
      <c r="D111" s="109" t="s">
        <v>985</v>
      </c>
      <c r="E111" s="109" t="s">
        <v>491</v>
      </c>
      <c r="F111" s="109" t="s">
        <v>491</v>
      </c>
      <c r="G111" s="109" t="s">
        <v>985</v>
      </c>
      <c r="H111" s="109" t="s">
        <v>985</v>
      </c>
      <c r="I111" s="109" t="s">
        <v>491</v>
      </c>
      <c r="J111" s="109" t="s">
        <v>985</v>
      </c>
      <c r="K111" s="109" t="s">
        <v>985</v>
      </c>
      <c r="L111" s="109" t="s">
        <v>985</v>
      </c>
      <c r="M111" s="109" t="s">
        <v>985</v>
      </c>
      <c r="N111" s="109" t="s">
        <v>985</v>
      </c>
      <c r="O111" s="109" t="s">
        <v>985</v>
      </c>
      <c r="P111" s="110" t="s">
        <v>993</v>
      </c>
      <c r="Q111" s="109" t="s">
        <v>985</v>
      </c>
      <c r="R111" s="110" t="s">
        <v>987</v>
      </c>
      <c r="S111" s="109" t="s">
        <v>491</v>
      </c>
      <c r="T111" s="109" t="s">
        <v>1021</v>
      </c>
    </row>
    <row r="112" ht="15.75" customHeight="1">
      <c r="A112" s="109" t="s">
        <v>297</v>
      </c>
      <c r="B112" s="109" t="s">
        <v>257</v>
      </c>
      <c r="C112" s="109" t="s">
        <v>985</v>
      </c>
      <c r="D112" s="109" t="s">
        <v>491</v>
      </c>
      <c r="E112" s="109" t="s">
        <v>491</v>
      </c>
      <c r="F112" s="109" t="s">
        <v>491</v>
      </c>
      <c r="G112" s="109" t="s">
        <v>985</v>
      </c>
      <c r="H112" s="109" t="s">
        <v>985</v>
      </c>
      <c r="I112" s="109" t="s">
        <v>985</v>
      </c>
      <c r="J112" s="109" t="s">
        <v>985</v>
      </c>
      <c r="K112" s="109" t="s">
        <v>985</v>
      </c>
      <c r="L112" s="109" t="s">
        <v>985</v>
      </c>
      <c r="M112" s="109" t="s">
        <v>985</v>
      </c>
      <c r="N112" s="109" t="s">
        <v>985</v>
      </c>
      <c r="O112" s="109" t="s">
        <v>985</v>
      </c>
      <c r="P112" s="110" t="s">
        <v>993</v>
      </c>
      <c r="Q112" s="109" t="s">
        <v>985</v>
      </c>
      <c r="R112" s="110" t="s">
        <v>987</v>
      </c>
      <c r="S112" s="109" t="s">
        <v>491</v>
      </c>
      <c r="T112" s="109" t="s">
        <v>691</v>
      </c>
    </row>
    <row r="113" ht="15.75" customHeight="1">
      <c r="A113" s="109" t="s">
        <v>299</v>
      </c>
      <c r="B113" s="109" t="s">
        <v>257</v>
      </c>
      <c r="C113" s="109" t="s">
        <v>985</v>
      </c>
      <c r="D113" s="109" t="s">
        <v>491</v>
      </c>
      <c r="E113" s="109" t="s">
        <v>491</v>
      </c>
      <c r="F113" s="109" t="s">
        <v>491</v>
      </c>
      <c r="G113" s="109" t="s">
        <v>985</v>
      </c>
      <c r="H113" s="109" t="s">
        <v>985</v>
      </c>
      <c r="I113" s="109" t="s">
        <v>491</v>
      </c>
      <c r="J113" s="109" t="s">
        <v>985</v>
      </c>
      <c r="K113" s="109" t="s">
        <v>985</v>
      </c>
      <c r="L113" s="109" t="s">
        <v>985</v>
      </c>
      <c r="M113" s="109" t="s">
        <v>985</v>
      </c>
      <c r="N113" s="109" t="s">
        <v>985</v>
      </c>
      <c r="O113" s="109" t="s">
        <v>491</v>
      </c>
      <c r="P113" s="110" t="s">
        <v>993</v>
      </c>
      <c r="Q113" s="109" t="s">
        <v>985</v>
      </c>
      <c r="R113" s="110" t="s">
        <v>987</v>
      </c>
      <c r="S113" s="109" t="s">
        <v>491</v>
      </c>
      <c r="T113" s="109" t="s">
        <v>691</v>
      </c>
    </row>
    <row r="114" ht="15.75" customHeight="1">
      <c r="A114" s="109" t="s">
        <v>301</v>
      </c>
      <c r="B114" s="109" t="s">
        <v>257</v>
      </c>
      <c r="C114" s="109" t="s">
        <v>985</v>
      </c>
      <c r="D114" s="109" t="s">
        <v>491</v>
      </c>
      <c r="E114" s="109" t="s">
        <v>985</v>
      </c>
      <c r="F114" s="109" t="s">
        <v>985</v>
      </c>
      <c r="G114" s="109" t="s">
        <v>985</v>
      </c>
      <c r="H114" s="109" t="s">
        <v>985</v>
      </c>
      <c r="I114" s="109" t="s">
        <v>491</v>
      </c>
      <c r="J114" s="109" t="s">
        <v>491</v>
      </c>
      <c r="K114" s="109" t="s">
        <v>491</v>
      </c>
      <c r="L114" s="109" t="s">
        <v>491</v>
      </c>
      <c r="M114" s="109" t="s">
        <v>985</v>
      </c>
      <c r="N114" s="109" t="s">
        <v>491</v>
      </c>
      <c r="O114" s="109" t="s">
        <v>491</v>
      </c>
      <c r="P114" s="110" t="s">
        <v>994</v>
      </c>
      <c r="Q114" s="109" t="s">
        <v>985</v>
      </c>
      <c r="R114" s="110" t="s">
        <v>987</v>
      </c>
      <c r="S114" s="109" t="s">
        <v>491</v>
      </c>
      <c r="T114" s="109" t="s">
        <v>691</v>
      </c>
    </row>
    <row r="115" ht="15.75" customHeight="1">
      <c r="A115" s="109" t="s">
        <v>303</v>
      </c>
      <c r="B115" s="109" t="s">
        <v>257</v>
      </c>
      <c r="C115" s="109" t="s">
        <v>985</v>
      </c>
      <c r="D115" s="109" t="s">
        <v>491</v>
      </c>
      <c r="E115" s="109" t="s">
        <v>985</v>
      </c>
      <c r="F115" s="109" t="s">
        <v>985</v>
      </c>
      <c r="G115" s="109" t="s">
        <v>985</v>
      </c>
      <c r="H115" s="109" t="s">
        <v>985</v>
      </c>
      <c r="I115" s="109" t="s">
        <v>491</v>
      </c>
      <c r="J115" s="109" t="s">
        <v>491</v>
      </c>
      <c r="K115" s="109" t="s">
        <v>491</v>
      </c>
      <c r="L115" s="109" t="s">
        <v>491</v>
      </c>
      <c r="M115" s="109" t="s">
        <v>985</v>
      </c>
      <c r="N115" s="109" t="s">
        <v>491</v>
      </c>
      <c r="O115" s="109" t="s">
        <v>491</v>
      </c>
      <c r="P115" s="110" t="s">
        <v>994</v>
      </c>
      <c r="Q115" s="109" t="s">
        <v>985</v>
      </c>
      <c r="R115" s="110" t="s">
        <v>987</v>
      </c>
      <c r="S115" s="109" t="s">
        <v>491</v>
      </c>
      <c r="T115" s="109" t="s">
        <v>691</v>
      </c>
    </row>
    <row r="116" ht="15.75" customHeight="1">
      <c r="A116" s="109" t="s">
        <v>305</v>
      </c>
      <c r="B116" s="109" t="s">
        <v>257</v>
      </c>
      <c r="C116" s="109" t="s">
        <v>985</v>
      </c>
      <c r="D116" s="109" t="s">
        <v>491</v>
      </c>
      <c r="E116" s="109" t="s">
        <v>985</v>
      </c>
      <c r="F116" s="109" t="s">
        <v>985</v>
      </c>
      <c r="G116" s="109" t="s">
        <v>985</v>
      </c>
      <c r="H116" s="109" t="s">
        <v>985</v>
      </c>
      <c r="I116" s="109" t="s">
        <v>491</v>
      </c>
      <c r="J116" s="109" t="s">
        <v>491</v>
      </c>
      <c r="K116" s="109" t="s">
        <v>491</v>
      </c>
      <c r="L116" s="109" t="s">
        <v>491</v>
      </c>
      <c r="M116" s="109" t="s">
        <v>491</v>
      </c>
      <c r="N116" s="109" t="s">
        <v>491</v>
      </c>
      <c r="O116" s="109" t="s">
        <v>491</v>
      </c>
      <c r="P116" s="110" t="s">
        <v>994</v>
      </c>
      <c r="Q116" s="109" t="s">
        <v>985</v>
      </c>
      <c r="R116" s="110" t="s">
        <v>987</v>
      </c>
      <c r="S116" s="109" t="s">
        <v>491</v>
      </c>
      <c r="T116" s="109" t="s">
        <v>691</v>
      </c>
    </row>
    <row r="117" ht="15.75" customHeight="1">
      <c r="A117" s="109" t="s">
        <v>309</v>
      </c>
      <c r="B117" s="109" t="s">
        <v>257</v>
      </c>
      <c r="C117" s="109" t="s">
        <v>985</v>
      </c>
      <c r="D117" s="109" t="s">
        <v>491</v>
      </c>
      <c r="E117" s="109" t="s">
        <v>985</v>
      </c>
      <c r="F117" s="109" t="s">
        <v>985</v>
      </c>
      <c r="G117" s="109" t="s">
        <v>985</v>
      </c>
      <c r="H117" s="109" t="s">
        <v>985</v>
      </c>
      <c r="I117" s="109" t="s">
        <v>491</v>
      </c>
      <c r="J117" s="109" t="s">
        <v>491</v>
      </c>
      <c r="K117" s="109" t="s">
        <v>491</v>
      </c>
      <c r="L117" s="109" t="s">
        <v>491</v>
      </c>
      <c r="M117" s="109" t="s">
        <v>985</v>
      </c>
      <c r="N117" s="109" t="s">
        <v>491</v>
      </c>
      <c r="O117" s="109" t="s">
        <v>491</v>
      </c>
      <c r="P117" s="110" t="s">
        <v>994</v>
      </c>
      <c r="Q117" s="109" t="s">
        <v>985</v>
      </c>
      <c r="R117" s="110" t="s">
        <v>987</v>
      </c>
      <c r="S117" s="109" t="s">
        <v>491</v>
      </c>
      <c r="T117" s="109" t="s">
        <v>691</v>
      </c>
    </row>
    <row r="118" ht="15.75" customHeight="1">
      <c r="A118" s="109" t="s">
        <v>310</v>
      </c>
      <c r="B118" s="109" t="s">
        <v>257</v>
      </c>
      <c r="C118" s="109" t="s">
        <v>985</v>
      </c>
      <c r="D118" s="109" t="s">
        <v>491</v>
      </c>
      <c r="E118" s="109" t="s">
        <v>985</v>
      </c>
      <c r="F118" s="109" t="s">
        <v>985</v>
      </c>
      <c r="G118" s="109" t="s">
        <v>985</v>
      </c>
      <c r="H118" s="109" t="s">
        <v>985</v>
      </c>
      <c r="I118" s="109" t="s">
        <v>491</v>
      </c>
      <c r="J118" s="109" t="s">
        <v>491</v>
      </c>
      <c r="K118" s="109" t="s">
        <v>491</v>
      </c>
      <c r="L118" s="109" t="s">
        <v>491</v>
      </c>
      <c r="M118" s="109" t="s">
        <v>985</v>
      </c>
      <c r="N118" s="109" t="s">
        <v>985</v>
      </c>
      <c r="O118" s="109" t="s">
        <v>491</v>
      </c>
      <c r="P118" s="110" t="s">
        <v>994</v>
      </c>
      <c r="Q118" s="109" t="s">
        <v>985</v>
      </c>
      <c r="R118" s="110" t="s">
        <v>987</v>
      </c>
      <c r="S118" s="109" t="s">
        <v>491</v>
      </c>
      <c r="T118" s="109" t="s">
        <v>1022</v>
      </c>
    </row>
    <row r="119" ht="15.75" customHeight="1">
      <c r="A119" s="109" t="s">
        <v>312</v>
      </c>
      <c r="B119" s="109" t="s">
        <v>257</v>
      </c>
      <c r="C119" s="109" t="s">
        <v>985</v>
      </c>
      <c r="D119" s="109" t="s">
        <v>491</v>
      </c>
      <c r="E119" s="109" t="s">
        <v>985</v>
      </c>
      <c r="F119" s="109" t="s">
        <v>985</v>
      </c>
      <c r="G119" s="109" t="s">
        <v>985</v>
      </c>
      <c r="H119" s="109" t="s">
        <v>985</v>
      </c>
      <c r="I119" s="109" t="s">
        <v>491</v>
      </c>
      <c r="J119" s="109" t="s">
        <v>491</v>
      </c>
      <c r="K119" s="109" t="s">
        <v>491</v>
      </c>
      <c r="L119" s="109" t="s">
        <v>491</v>
      </c>
      <c r="M119" s="109" t="s">
        <v>985</v>
      </c>
      <c r="N119" s="109" t="s">
        <v>985</v>
      </c>
      <c r="O119" s="109" t="s">
        <v>491</v>
      </c>
      <c r="P119" s="110" t="s">
        <v>994</v>
      </c>
      <c r="Q119" s="109" t="s">
        <v>985</v>
      </c>
      <c r="R119" s="110" t="s">
        <v>987</v>
      </c>
      <c r="S119" s="109" t="s">
        <v>491</v>
      </c>
      <c r="T119" s="109" t="s">
        <v>1023</v>
      </c>
    </row>
    <row r="120" ht="15.75" customHeight="1">
      <c r="A120" s="109" t="s">
        <v>314</v>
      </c>
      <c r="B120" s="109" t="s">
        <v>257</v>
      </c>
      <c r="C120" s="109" t="s">
        <v>985</v>
      </c>
      <c r="D120" s="109" t="s">
        <v>491</v>
      </c>
      <c r="E120" s="109" t="s">
        <v>985</v>
      </c>
      <c r="F120" s="109" t="s">
        <v>985</v>
      </c>
      <c r="G120" s="109" t="s">
        <v>985</v>
      </c>
      <c r="H120" s="109" t="s">
        <v>985</v>
      </c>
      <c r="I120" s="109" t="s">
        <v>491</v>
      </c>
      <c r="J120" s="109" t="s">
        <v>491</v>
      </c>
      <c r="K120" s="109" t="s">
        <v>491</v>
      </c>
      <c r="L120" s="109" t="s">
        <v>491</v>
      </c>
      <c r="M120" s="109" t="s">
        <v>491</v>
      </c>
      <c r="N120" s="109" t="s">
        <v>985</v>
      </c>
      <c r="O120" s="109" t="s">
        <v>491</v>
      </c>
      <c r="P120" s="110" t="s">
        <v>994</v>
      </c>
      <c r="Q120" s="109" t="s">
        <v>985</v>
      </c>
      <c r="R120" s="110" t="s">
        <v>987</v>
      </c>
      <c r="S120" s="109" t="s">
        <v>491</v>
      </c>
      <c r="T120" s="109" t="s">
        <v>1024</v>
      </c>
    </row>
    <row r="121" ht="15.75" customHeight="1">
      <c r="A121" s="109" t="s">
        <v>316</v>
      </c>
      <c r="B121" s="109" t="s">
        <v>257</v>
      </c>
      <c r="C121" s="109" t="s">
        <v>985</v>
      </c>
      <c r="D121" s="109" t="s">
        <v>491</v>
      </c>
      <c r="E121" s="109" t="s">
        <v>985</v>
      </c>
      <c r="F121" s="109" t="s">
        <v>985</v>
      </c>
      <c r="G121" s="109" t="s">
        <v>985</v>
      </c>
      <c r="H121" s="109" t="s">
        <v>985</v>
      </c>
      <c r="I121" s="109" t="s">
        <v>491</v>
      </c>
      <c r="J121" s="109" t="s">
        <v>491</v>
      </c>
      <c r="K121" s="109" t="s">
        <v>491</v>
      </c>
      <c r="L121" s="109" t="s">
        <v>491</v>
      </c>
      <c r="M121" s="109" t="s">
        <v>491</v>
      </c>
      <c r="N121" s="109" t="s">
        <v>985</v>
      </c>
      <c r="O121" s="109" t="s">
        <v>491</v>
      </c>
      <c r="P121" s="110" t="s">
        <v>994</v>
      </c>
      <c r="Q121" s="109" t="s">
        <v>985</v>
      </c>
      <c r="R121" s="110" t="s">
        <v>987</v>
      </c>
      <c r="S121" s="109" t="s">
        <v>491</v>
      </c>
      <c r="T121" s="109" t="s">
        <v>1025</v>
      </c>
    </row>
    <row r="122" ht="15.75" customHeight="1">
      <c r="A122" s="109" t="s">
        <v>318</v>
      </c>
      <c r="B122" s="109" t="s">
        <v>257</v>
      </c>
      <c r="C122" s="109" t="s">
        <v>985</v>
      </c>
      <c r="D122" s="109" t="s">
        <v>491</v>
      </c>
      <c r="E122" s="109" t="s">
        <v>985</v>
      </c>
      <c r="F122" s="109" t="s">
        <v>985</v>
      </c>
      <c r="G122" s="109" t="s">
        <v>985</v>
      </c>
      <c r="H122" s="109" t="s">
        <v>985</v>
      </c>
      <c r="I122" s="109" t="s">
        <v>491</v>
      </c>
      <c r="J122" s="109" t="s">
        <v>491</v>
      </c>
      <c r="K122" s="109" t="s">
        <v>491</v>
      </c>
      <c r="L122" s="109" t="s">
        <v>491</v>
      </c>
      <c r="M122" s="109" t="s">
        <v>985</v>
      </c>
      <c r="N122" s="109" t="s">
        <v>985</v>
      </c>
      <c r="O122" s="109" t="s">
        <v>491</v>
      </c>
      <c r="P122" s="110" t="s">
        <v>994</v>
      </c>
      <c r="Q122" s="109" t="s">
        <v>985</v>
      </c>
      <c r="R122" s="110" t="s">
        <v>987</v>
      </c>
      <c r="S122" s="109" t="s">
        <v>491</v>
      </c>
      <c r="T122" s="109" t="s">
        <v>1026</v>
      </c>
    </row>
    <row r="123" ht="15.75" customHeight="1">
      <c r="A123" s="109" t="s">
        <v>321</v>
      </c>
      <c r="B123" s="109" t="s">
        <v>257</v>
      </c>
      <c r="C123" s="109" t="s">
        <v>985</v>
      </c>
      <c r="D123" s="109" t="s">
        <v>491</v>
      </c>
      <c r="E123" s="109" t="s">
        <v>985</v>
      </c>
      <c r="F123" s="109" t="s">
        <v>985</v>
      </c>
      <c r="G123" s="109" t="s">
        <v>985</v>
      </c>
      <c r="H123" s="109" t="s">
        <v>985</v>
      </c>
      <c r="I123" s="109" t="s">
        <v>985</v>
      </c>
      <c r="J123" s="109" t="s">
        <v>491</v>
      </c>
      <c r="K123" s="109" t="s">
        <v>491</v>
      </c>
      <c r="L123" s="109" t="s">
        <v>491</v>
      </c>
      <c r="M123" s="109" t="s">
        <v>491</v>
      </c>
      <c r="N123" s="109" t="s">
        <v>985</v>
      </c>
      <c r="O123" s="109" t="s">
        <v>985</v>
      </c>
      <c r="P123" s="110" t="s">
        <v>994</v>
      </c>
      <c r="Q123" s="109" t="s">
        <v>985</v>
      </c>
      <c r="R123" s="110" t="s">
        <v>987</v>
      </c>
      <c r="S123" s="109" t="s">
        <v>491</v>
      </c>
      <c r="T123" s="109" t="s">
        <v>1027</v>
      </c>
    </row>
    <row r="124" ht="15.75" customHeight="1">
      <c r="A124" s="109" t="s">
        <v>323</v>
      </c>
      <c r="B124" s="109" t="s">
        <v>257</v>
      </c>
      <c r="C124" s="109" t="s">
        <v>985</v>
      </c>
      <c r="D124" s="109" t="s">
        <v>491</v>
      </c>
      <c r="E124" s="109" t="s">
        <v>985</v>
      </c>
      <c r="F124" s="109" t="s">
        <v>985</v>
      </c>
      <c r="G124" s="109" t="s">
        <v>985</v>
      </c>
      <c r="H124" s="109" t="s">
        <v>985</v>
      </c>
      <c r="I124" s="109" t="s">
        <v>491</v>
      </c>
      <c r="J124" s="109" t="s">
        <v>491</v>
      </c>
      <c r="K124" s="109" t="s">
        <v>985</v>
      </c>
      <c r="L124" s="109" t="s">
        <v>985</v>
      </c>
      <c r="M124" s="109" t="s">
        <v>491</v>
      </c>
      <c r="N124" s="109" t="s">
        <v>985</v>
      </c>
      <c r="O124" s="109" t="s">
        <v>491</v>
      </c>
      <c r="P124" s="110" t="s">
        <v>994</v>
      </c>
      <c r="Q124" s="109" t="s">
        <v>985</v>
      </c>
      <c r="R124" s="110" t="s">
        <v>987</v>
      </c>
      <c r="S124" s="109" t="s">
        <v>491</v>
      </c>
      <c r="T124" s="112" t="s">
        <v>1028</v>
      </c>
    </row>
    <row r="125" ht="15.75" customHeight="1">
      <c r="A125" s="109" t="s">
        <v>325</v>
      </c>
      <c r="B125" s="109" t="s">
        <v>257</v>
      </c>
      <c r="C125" s="109" t="s">
        <v>985</v>
      </c>
      <c r="D125" s="109" t="s">
        <v>491</v>
      </c>
      <c r="E125" s="109" t="s">
        <v>985</v>
      </c>
      <c r="F125" s="109" t="s">
        <v>985</v>
      </c>
      <c r="G125" s="109" t="s">
        <v>985</v>
      </c>
      <c r="H125" s="109" t="s">
        <v>985</v>
      </c>
      <c r="I125" s="109" t="s">
        <v>491</v>
      </c>
      <c r="J125" s="109" t="s">
        <v>491</v>
      </c>
      <c r="K125" s="109" t="s">
        <v>985</v>
      </c>
      <c r="L125" s="109" t="s">
        <v>985</v>
      </c>
      <c r="M125" s="109" t="s">
        <v>491</v>
      </c>
      <c r="N125" s="109" t="s">
        <v>985</v>
      </c>
      <c r="O125" s="109" t="s">
        <v>491</v>
      </c>
      <c r="P125" s="110" t="s">
        <v>994</v>
      </c>
      <c r="Q125" s="109" t="s">
        <v>985</v>
      </c>
      <c r="R125" s="110" t="s">
        <v>1029</v>
      </c>
      <c r="S125" s="109" t="s">
        <v>491</v>
      </c>
      <c r="T125" s="112" t="s">
        <v>691</v>
      </c>
      <c r="Y125" s="113"/>
    </row>
    <row r="126" ht="15.75" customHeight="1">
      <c r="A126" s="114" t="s">
        <v>327</v>
      </c>
      <c r="B126" s="114" t="s">
        <v>328</v>
      </c>
      <c r="C126" s="114" t="s">
        <v>985</v>
      </c>
      <c r="D126" s="114" t="s">
        <v>491</v>
      </c>
      <c r="E126" s="114" t="s">
        <v>985</v>
      </c>
      <c r="F126" s="114" t="s">
        <v>985</v>
      </c>
      <c r="G126" s="114" t="s">
        <v>985</v>
      </c>
      <c r="H126" s="114" t="s">
        <v>985</v>
      </c>
      <c r="I126" s="114" t="s">
        <v>491</v>
      </c>
      <c r="J126" s="114" t="s">
        <v>491</v>
      </c>
      <c r="K126" s="114" t="s">
        <v>985</v>
      </c>
      <c r="L126" s="114" t="s">
        <v>985</v>
      </c>
      <c r="M126" s="114" t="s">
        <v>491</v>
      </c>
      <c r="N126" s="114" t="s">
        <v>985</v>
      </c>
      <c r="O126" s="114" t="s">
        <v>491</v>
      </c>
      <c r="P126" s="115" t="s">
        <v>994</v>
      </c>
      <c r="Q126" s="114" t="s">
        <v>985</v>
      </c>
      <c r="R126" s="115" t="s">
        <v>996</v>
      </c>
      <c r="S126" s="114" t="s">
        <v>491</v>
      </c>
      <c r="T126" s="116" t="s">
        <v>691</v>
      </c>
      <c r="Y126" s="113"/>
    </row>
    <row r="127" ht="15.75" customHeight="1">
      <c r="A127" s="114" t="s">
        <v>334</v>
      </c>
      <c r="B127" s="114" t="s">
        <v>328</v>
      </c>
      <c r="C127" s="114" t="s">
        <v>985</v>
      </c>
      <c r="D127" s="114" t="s">
        <v>491</v>
      </c>
      <c r="E127" s="114" t="s">
        <v>985</v>
      </c>
      <c r="F127" s="114" t="s">
        <v>985</v>
      </c>
      <c r="G127" s="114" t="s">
        <v>985</v>
      </c>
      <c r="H127" s="114" t="s">
        <v>985</v>
      </c>
      <c r="I127" s="114" t="s">
        <v>491</v>
      </c>
      <c r="J127" s="114" t="s">
        <v>491</v>
      </c>
      <c r="K127" s="114" t="s">
        <v>985</v>
      </c>
      <c r="L127" s="114" t="s">
        <v>985</v>
      </c>
      <c r="M127" s="114" t="s">
        <v>491</v>
      </c>
      <c r="N127" s="114" t="s">
        <v>985</v>
      </c>
      <c r="O127" s="114" t="s">
        <v>491</v>
      </c>
      <c r="P127" s="115" t="s">
        <v>994</v>
      </c>
      <c r="Q127" s="114" t="s">
        <v>985</v>
      </c>
      <c r="R127" s="115" t="s">
        <v>996</v>
      </c>
      <c r="S127" s="114" t="s">
        <v>491</v>
      </c>
      <c r="T127" s="116" t="s">
        <v>691</v>
      </c>
      <c r="Y127" s="113"/>
    </row>
    <row r="128" ht="15.75" customHeight="1">
      <c r="A128" s="114" t="s">
        <v>336</v>
      </c>
      <c r="B128" s="114" t="s">
        <v>328</v>
      </c>
      <c r="C128" s="114" t="s">
        <v>985</v>
      </c>
      <c r="D128" s="114" t="s">
        <v>491</v>
      </c>
      <c r="E128" s="114" t="s">
        <v>985</v>
      </c>
      <c r="F128" s="114" t="s">
        <v>985</v>
      </c>
      <c r="G128" s="114" t="s">
        <v>985</v>
      </c>
      <c r="H128" s="114" t="s">
        <v>985</v>
      </c>
      <c r="I128" s="114" t="s">
        <v>491</v>
      </c>
      <c r="J128" s="114" t="s">
        <v>491</v>
      </c>
      <c r="K128" s="114" t="s">
        <v>985</v>
      </c>
      <c r="L128" s="114" t="s">
        <v>985</v>
      </c>
      <c r="M128" s="114" t="s">
        <v>985</v>
      </c>
      <c r="N128" s="114" t="s">
        <v>985</v>
      </c>
      <c r="O128" s="114" t="s">
        <v>491</v>
      </c>
      <c r="P128" s="115" t="s">
        <v>994</v>
      </c>
      <c r="Q128" s="114" t="s">
        <v>985</v>
      </c>
      <c r="R128" s="115" t="s">
        <v>996</v>
      </c>
      <c r="S128" s="114" t="s">
        <v>491</v>
      </c>
      <c r="T128" s="116" t="s">
        <v>1030</v>
      </c>
      <c r="Y128" s="113"/>
    </row>
    <row r="129" ht="15.75" customHeight="1">
      <c r="A129" s="114" t="s">
        <v>338</v>
      </c>
      <c r="B129" s="114" t="s">
        <v>328</v>
      </c>
      <c r="C129" s="114" t="s">
        <v>985</v>
      </c>
      <c r="D129" s="114" t="s">
        <v>491</v>
      </c>
      <c r="E129" s="114" t="s">
        <v>985</v>
      </c>
      <c r="F129" s="114" t="s">
        <v>985</v>
      </c>
      <c r="G129" s="114" t="s">
        <v>985</v>
      </c>
      <c r="H129" s="114" t="s">
        <v>985</v>
      </c>
      <c r="I129" s="114" t="s">
        <v>491</v>
      </c>
      <c r="J129" s="114" t="s">
        <v>491</v>
      </c>
      <c r="K129" s="114" t="s">
        <v>985</v>
      </c>
      <c r="L129" s="114" t="s">
        <v>985</v>
      </c>
      <c r="M129" s="114" t="s">
        <v>985</v>
      </c>
      <c r="N129" s="114" t="s">
        <v>985</v>
      </c>
      <c r="O129" s="114" t="s">
        <v>491</v>
      </c>
      <c r="P129" s="115" t="s">
        <v>994</v>
      </c>
      <c r="Q129" s="114" t="s">
        <v>985</v>
      </c>
      <c r="R129" s="115" t="s">
        <v>996</v>
      </c>
      <c r="S129" s="114" t="s">
        <v>491</v>
      </c>
      <c r="T129" s="116" t="s">
        <v>691</v>
      </c>
      <c r="Y129" s="113"/>
    </row>
    <row r="130" ht="15.75" customHeight="1">
      <c r="A130" s="114" t="s">
        <v>340</v>
      </c>
      <c r="B130" s="114" t="s">
        <v>328</v>
      </c>
      <c r="C130" s="114" t="s">
        <v>985</v>
      </c>
      <c r="D130" s="114" t="s">
        <v>491</v>
      </c>
      <c r="E130" s="114" t="s">
        <v>985</v>
      </c>
      <c r="F130" s="114" t="s">
        <v>985</v>
      </c>
      <c r="G130" s="114" t="s">
        <v>985</v>
      </c>
      <c r="H130" s="114" t="s">
        <v>985</v>
      </c>
      <c r="I130" s="114" t="s">
        <v>491</v>
      </c>
      <c r="J130" s="114" t="s">
        <v>491</v>
      </c>
      <c r="K130" s="114" t="s">
        <v>985</v>
      </c>
      <c r="L130" s="114" t="s">
        <v>985</v>
      </c>
      <c r="M130" s="114" t="s">
        <v>491</v>
      </c>
      <c r="N130" s="114" t="s">
        <v>985</v>
      </c>
      <c r="O130" s="114" t="s">
        <v>491</v>
      </c>
      <c r="P130" s="115" t="s">
        <v>994</v>
      </c>
      <c r="Q130" s="114" t="s">
        <v>985</v>
      </c>
      <c r="R130" s="115" t="s">
        <v>996</v>
      </c>
      <c r="S130" s="114" t="s">
        <v>491</v>
      </c>
      <c r="T130" s="116" t="s">
        <v>691</v>
      </c>
      <c r="Y130" s="113"/>
    </row>
    <row r="131" ht="15.75" customHeight="1">
      <c r="A131" s="114" t="s">
        <v>342</v>
      </c>
      <c r="B131" s="114" t="s">
        <v>328</v>
      </c>
      <c r="C131" s="114" t="s">
        <v>985</v>
      </c>
      <c r="D131" s="114" t="s">
        <v>491</v>
      </c>
      <c r="E131" s="114" t="s">
        <v>985</v>
      </c>
      <c r="F131" s="114" t="s">
        <v>985</v>
      </c>
      <c r="G131" s="114" t="s">
        <v>985</v>
      </c>
      <c r="H131" s="114" t="s">
        <v>985</v>
      </c>
      <c r="I131" s="114" t="s">
        <v>491</v>
      </c>
      <c r="J131" s="114" t="s">
        <v>491</v>
      </c>
      <c r="K131" s="114" t="s">
        <v>985</v>
      </c>
      <c r="L131" s="114" t="s">
        <v>985</v>
      </c>
      <c r="M131" s="114" t="s">
        <v>491</v>
      </c>
      <c r="N131" s="114" t="s">
        <v>985</v>
      </c>
      <c r="O131" s="114" t="s">
        <v>491</v>
      </c>
      <c r="P131" s="115" t="s">
        <v>994</v>
      </c>
      <c r="Q131" s="114" t="s">
        <v>985</v>
      </c>
      <c r="R131" s="115" t="s">
        <v>996</v>
      </c>
      <c r="S131" s="114" t="s">
        <v>491</v>
      </c>
      <c r="T131" s="114" t="s">
        <v>1024</v>
      </c>
      <c r="Y131" s="113"/>
    </row>
    <row r="132" ht="15.75" customHeight="1">
      <c r="A132" s="114" t="s">
        <v>344</v>
      </c>
      <c r="B132" s="114" t="s">
        <v>328</v>
      </c>
      <c r="C132" s="114" t="s">
        <v>985</v>
      </c>
      <c r="D132" s="114" t="s">
        <v>491</v>
      </c>
      <c r="E132" s="114" t="s">
        <v>985</v>
      </c>
      <c r="F132" s="114" t="s">
        <v>985</v>
      </c>
      <c r="G132" s="114" t="s">
        <v>985</v>
      </c>
      <c r="H132" s="114" t="s">
        <v>985</v>
      </c>
      <c r="I132" s="114" t="s">
        <v>491</v>
      </c>
      <c r="J132" s="114" t="s">
        <v>491</v>
      </c>
      <c r="K132" s="114" t="s">
        <v>491</v>
      </c>
      <c r="L132" s="114" t="s">
        <v>985</v>
      </c>
      <c r="M132" s="114" t="s">
        <v>985</v>
      </c>
      <c r="N132" s="114" t="s">
        <v>491</v>
      </c>
      <c r="O132" s="114" t="s">
        <v>985</v>
      </c>
      <c r="P132" s="115" t="s">
        <v>994</v>
      </c>
      <c r="Q132" s="114" t="s">
        <v>985</v>
      </c>
      <c r="R132" s="115" t="s">
        <v>996</v>
      </c>
      <c r="S132" s="114" t="s">
        <v>491</v>
      </c>
      <c r="T132" s="116" t="s">
        <v>1031</v>
      </c>
      <c r="Y132" s="113"/>
    </row>
    <row r="133" ht="15.75" customHeight="1">
      <c r="A133" s="114" t="s">
        <v>346</v>
      </c>
      <c r="B133" s="114" t="s">
        <v>328</v>
      </c>
      <c r="C133" s="114" t="s">
        <v>985</v>
      </c>
      <c r="D133" s="114" t="s">
        <v>491</v>
      </c>
      <c r="E133" s="114" t="s">
        <v>985</v>
      </c>
      <c r="F133" s="114" t="s">
        <v>985</v>
      </c>
      <c r="G133" s="114" t="s">
        <v>985</v>
      </c>
      <c r="H133" s="114" t="s">
        <v>985</v>
      </c>
      <c r="I133" s="114" t="s">
        <v>491</v>
      </c>
      <c r="J133" s="114" t="s">
        <v>491</v>
      </c>
      <c r="K133" s="114" t="s">
        <v>985</v>
      </c>
      <c r="L133" s="114" t="s">
        <v>985</v>
      </c>
      <c r="M133" s="114" t="s">
        <v>491</v>
      </c>
      <c r="N133" s="114" t="s">
        <v>985</v>
      </c>
      <c r="O133" s="114" t="s">
        <v>491</v>
      </c>
      <c r="P133" s="115" t="s">
        <v>994</v>
      </c>
      <c r="Q133" s="114" t="s">
        <v>985</v>
      </c>
      <c r="R133" s="115" t="s">
        <v>996</v>
      </c>
      <c r="S133" s="114" t="s">
        <v>491</v>
      </c>
      <c r="T133" s="116" t="s">
        <v>691</v>
      </c>
      <c r="Y133" s="113"/>
    </row>
    <row r="134">
      <c r="A134" s="114" t="s">
        <v>348</v>
      </c>
      <c r="B134" s="114" t="s">
        <v>328</v>
      </c>
      <c r="C134" s="114" t="s">
        <v>985</v>
      </c>
      <c r="D134" s="114" t="s">
        <v>491</v>
      </c>
      <c r="E134" s="114" t="s">
        <v>491</v>
      </c>
      <c r="F134" s="114" t="s">
        <v>491</v>
      </c>
      <c r="G134" s="114" t="s">
        <v>985</v>
      </c>
      <c r="H134" s="114" t="s">
        <v>985</v>
      </c>
      <c r="I134" s="114" t="s">
        <v>491</v>
      </c>
      <c r="J134" s="114" t="s">
        <v>985</v>
      </c>
      <c r="K134" s="114" t="s">
        <v>985</v>
      </c>
      <c r="L134" s="114" t="s">
        <v>985</v>
      </c>
      <c r="M134" s="114" t="s">
        <v>985</v>
      </c>
      <c r="N134" s="114" t="s">
        <v>985</v>
      </c>
      <c r="O134" s="114" t="s">
        <v>985</v>
      </c>
      <c r="P134" s="115" t="s">
        <v>993</v>
      </c>
      <c r="Q134" s="114" t="s">
        <v>985</v>
      </c>
      <c r="R134" s="115" t="s">
        <v>987</v>
      </c>
      <c r="S134" s="114" t="s">
        <v>491</v>
      </c>
      <c r="T134" s="117"/>
    </row>
    <row r="135">
      <c r="A135" s="114" t="s">
        <v>349</v>
      </c>
      <c r="B135" s="114" t="s">
        <v>328</v>
      </c>
      <c r="C135" s="114" t="s">
        <v>985</v>
      </c>
      <c r="D135" s="114" t="s">
        <v>491</v>
      </c>
      <c r="E135" s="114" t="s">
        <v>491</v>
      </c>
      <c r="F135" s="114" t="s">
        <v>491</v>
      </c>
      <c r="G135" s="114" t="s">
        <v>985</v>
      </c>
      <c r="H135" s="114" t="s">
        <v>985</v>
      </c>
      <c r="I135" s="114" t="s">
        <v>491</v>
      </c>
      <c r="J135" s="114" t="s">
        <v>985</v>
      </c>
      <c r="K135" s="114" t="s">
        <v>985</v>
      </c>
      <c r="L135" s="114" t="s">
        <v>985</v>
      </c>
      <c r="M135" s="114" t="s">
        <v>985</v>
      </c>
      <c r="N135" s="114" t="s">
        <v>985</v>
      </c>
      <c r="O135" s="114" t="s">
        <v>985</v>
      </c>
      <c r="P135" s="115" t="s">
        <v>993</v>
      </c>
      <c r="Q135" s="114" t="s">
        <v>985</v>
      </c>
      <c r="R135" s="115" t="s">
        <v>987</v>
      </c>
      <c r="S135" s="114" t="s">
        <v>491</v>
      </c>
      <c r="T135" s="117"/>
    </row>
    <row r="136">
      <c r="A136" s="114" t="s">
        <v>351</v>
      </c>
      <c r="B136" s="114" t="s">
        <v>328</v>
      </c>
      <c r="C136" s="114" t="s">
        <v>985</v>
      </c>
      <c r="D136" s="114" t="s">
        <v>491</v>
      </c>
      <c r="E136" s="114" t="s">
        <v>491</v>
      </c>
      <c r="F136" s="114" t="s">
        <v>491</v>
      </c>
      <c r="G136" s="114" t="s">
        <v>985</v>
      </c>
      <c r="H136" s="114" t="s">
        <v>985</v>
      </c>
      <c r="I136" s="114" t="s">
        <v>491</v>
      </c>
      <c r="J136" s="114" t="s">
        <v>985</v>
      </c>
      <c r="K136" s="114" t="s">
        <v>985</v>
      </c>
      <c r="L136" s="114" t="s">
        <v>985</v>
      </c>
      <c r="M136" s="114" t="s">
        <v>985</v>
      </c>
      <c r="N136" s="114" t="s">
        <v>985</v>
      </c>
      <c r="O136" s="114" t="s">
        <v>985</v>
      </c>
      <c r="P136" s="115" t="s">
        <v>993</v>
      </c>
      <c r="Q136" s="114" t="s">
        <v>985</v>
      </c>
      <c r="R136" s="115" t="s">
        <v>987</v>
      </c>
      <c r="S136" s="114" t="s">
        <v>491</v>
      </c>
      <c r="T136" s="117"/>
    </row>
    <row r="137">
      <c r="A137" s="114" t="s">
        <v>353</v>
      </c>
      <c r="B137" s="114" t="s">
        <v>328</v>
      </c>
      <c r="C137" s="114" t="s">
        <v>985</v>
      </c>
      <c r="D137" s="114" t="s">
        <v>491</v>
      </c>
      <c r="E137" s="114" t="s">
        <v>491</v>
      </c>
      <c r="F137" s="114" t="s">
        <v>491</v>
      </c>
      <c r="G137" s="114" t="s">
        <v>985</v>
      </c>
      <c r="H137" s="114" t="s">
        <v>985</v>
      </c>
      <c r="I137" s="114" t="s">
        <v>491</v>
      </c>
      <c r="J137" s="114" t="s">
        <v>491</v>
      </c>
      <c r="K137" s="114" t="s">
        <v>985</v>
      </c>
      <c r="L137" s="114" t="s">
        <v>985</v>
      </c>
      <c r="M137" s="114" t="s">
        <v>985</v>
      </c>
      <c r="N137" s="114" t="s">
        <v>985</v>
      </c>
      <c r="O137" s="114" t="s">
        <v>985</v>
      </c>
      <c r="P137" s="115" t="s">
        <v>993</v>
      </c>
      <c r="Q137" s="114" t="s">
        <v>985</v>
      </c>
      <c r="R137" s="115" t="s">
        <v>987</v>
      </c>
      <c r="S137" s="114" t="s">
        <v>491</v>
      </c>
      <c r="T137" s="117"/>
    </row>
    <row r="138">
      <c r="A138" s="114" t="s">
        <v>357</v>
      </c>
      <c r="B138" s="114" t="s">
        <v>328</v>
      </c>
      <c r="C138" s="114" t="s">
        <v>985</v>
      </c>
      <c r="D138" s="114" t="s">
        <v>491</v>
      </c>
      <c r="E138" s="114" t="s">
        <v>491</v>
      </c>
      <c r="F138" s="114" t="s">
        <v>491</v>
      </c>
      <c r="G138" s="114" t="s">
        <v>985</v>
      </c>
      <c r="H138" s="114" t="s">
        <v>985</v>
      </c>
      <c r="I138" s="114" t="s">
        <v>491</v>
      </c>
      <c r="J138" s="114" t="s">
        <v>491</v>
      </c>
      <c r="K138" s="114" t="s">
        <v>985</v>
      </c>
      <c r="L138" s="114" t="s">
        <v>985</v>
      </c>
      <c r="M138" s="114" t="s">
        <v>985</v>
      </c>
      <c r="N138" s="114" t="s">
        <v>985</v>
      </c>
      <c r="O138" s="114" t="s">
        <v>985</v>
      </c>
      <c r="P138" s="115" t="s">
        <v>993</v>
      </c>
      <c r="Q138" s="114" t="s">
        <v>985</v>
      </c>
      <c r="R138" s="115" t="s">
        <v>987</v>
      </c>
      <c r="S138" s="114" t="s">
        <v>491</v>
      </c>
      <c r="T138" s="117"/>
    </row>
    <row r="139">
      <c r="A139" s="114" t="s">
        <v>359</v>
      </c>
      <c r="B139" s="114" t="s">
        <v>328</v>
      </c>
      <c r="C139" s="114" t="s">
        <v>985</v>
      </c>
      <c r="D139" s="114" t="s">
        <v>491</v>
      </c>
      <c r="E139" s="114" t="s">
        <v>491</v>
      </c>
      <c r="F139" s="114" t="s">
        <v>491</v>
      </c>
      <c r="G139" s="114" t="s">
        <v>985</v>
      </c>
      <c r="H139" s="114" t="s">
        <v>985</v>
      </c>
      <c r="I139" s="114" t="s">
        <v>491</v>
      </c>
      <c r="J139" s="114" t="s">
        <v>985</v>
      </c>
      <c r="K139" s="114" t="s">
        <v>985</v>
      </c>
      <c r="L139" s="114" t="s">
        <v>985</v>
      </c>
      <c r="M139" s="114" t="s">
        <v>985</v>
      </c>
      <c r="N139" s="114" t="s">
        <v>985</v>
      </c>
      <c r="O139" s="114" t="s">
        <v>985</v>
      </c>
      <c r="P139" s="115" t="s">
        <v>993</v>
      </c>
      <c r="Q139" s="114" t="s">
        <v>985</v>
      </c>
      <c r="R139" s="115" t="s">
        <v>987</v>
      </c>
      <c r="S139" s="114" t="s">
        <v>491</v>
      </c>
      <c r="T139" s="117"/>
    </row>
    <row r="140">
      <c r="A140" s="114" t="s">
        <v>361</v>
      </c>
      <c r="B140" s="114" t="s">
        <v>328</v>
      </c>
      <c r="C140" s="114" t="s">
        <v>985</v>
      </c>
      <c r="D140" s="114" t="s">
        <v>491</v>
      </c>
      <c r="E140" s="114" t="s">
        <v>985</v>
      </c>
      <c r="F140" s="114" t="s">
        <v>491</v>
      </c>
      <c r="G140" s="114" t="s">
        <v>985</v>
      </c>
      <c r="H140" s="114" t="s">
        <v>985</v>
      </c>
      <c r="I140" s="114" t="s">
        <v>985</v>
      </c>
      <c r="J140" s="114" t="s">
        <v>491</v>
      </c>
      <c r="K140" s="114" t="s">
        <v>985</v>
      </c>
      <c r="L140" s="114" t="s">
        <v>985</v>
      </c>
      <c r="M140" s="114" t="s">
        <v>985</v>
      </c>
      <c r="N140" s="114" t="s">
        <v>985</v>
      </c>
      <c r="O140" s="114" t="s">
        <v>985</v>
      </c>
      <c r="P140" s="115" t="s">
        <v>999</v>
      </c>
      <c r="Q140" s="114" t="s">
        <v>985</v>
      </c>
      <c r="R140" s="115" t="s">
        <v>1013</v>
      </c>
      <c r="S140" s="114" t="s">
        <v>491</v>
      </c>
      <c r="T140" s="117"/>
    </row>
    <row r="141">
      <c r="A141" s="114" t="s">
        <v>363</v>
      </c>
      <c r="B141" s="114" t="s">
        <v>328</v>
      </c>
      <c r="C141" s="114" t="s">
        <v>491</v>
      </c>
      <c r="D141" s="114" t="s">
        <v>491</v>
      </c>
      <c r="E141" s="114" t="s">
        <v>491</v>
      </c>
      <c r="F141" s="114" t="s">
        <v>985</v>
      </c>
      <c r="G141" s="114" t="s">
        <v>491</v>
      </c>
      <c r="H141" s="114" t="s">
        <v>491</v>
      </c>
      <c r="I141" s="114" t="s">
        <v>491</v>
      </c>
      <c r="J141" s="114" t="s">
        <v>491</v>
      </c>
      <c r="K141" s="114" t="s">
        <v>985</v>
      </c>
      <c r="L141" s="114" t="s">
        <v>491</v>
      </c>
      <c r="M141" s="114" t="s">
        <v>491</v>
      </c>
      <c r="N141" s="114" t="s">
        <v>491</v>
      </c>
      <c r="O141" s="114" t="s">
        <v>491</v>
      </c>
      <c r="P141" s="115" t="s">
        <v>994</v>
      </c>
      <c r="Q141" s="114" t="s">
        <v>985</v>
      </c>
      <c r="R141" s="115" t="s">
        <v>1010</v>
      </c>
      <c r="S141" s="114" t="s">
        <v>491</v>
      </c>
      <c r="T141" s="117"/>
    </row>
    <row r="142">
      <c r="A142" s="114" t="s">
        <v>365</v>
      </c>
      <c r="B142" s="114" t="s">
        <v>328</v>
      </c>
      <c r="C142" s="114" t="s">
        <v>491</v>
      </c>
      <c r="D142" s="114" t="s">
        <v>491</v>
      </c>
      <c r="E142" s="114" t="s">
        <v>491</v>
      </c>
      <c r="F142" s="114" t="s">
        <v>985</v>
      </c>
      <c r="G142" s="114" t="s">
        <v>491</v>
      </c>
      <c r="H142" s="114" t="s">
        <v>491</v>
      </c>
      <c r="I142" s="114" t="s">
        <v>491</v>
      </c>
      <c r="J142" s="114" t="s">
        <v>491</v>
      </c>
      <c r="K142" s="114" t="s">
        <v>985</v>
      </c>
      <c r="L142" s="114" t="s">
        <v>491</v>
      </c>
      <c r="M142" s="114" t="s">
        <v>491</v>
      </c>
      <c r="N142" s="114" t="s">
        <v>491</v>
      </c>
      <c r="O142" s="114" t="s">
        <v>491</v>
      </c>
      <c r="P142" s="115" t="s">
        <v>994</v>
      </c>
      <c r="Q142" s="114" t="s">
        <v>985</v>
      </c>
      <c r="R142" s="115" t="s">
        <v>1010</v>
      </c>
      <c r="S142" s="114" t="s">
        <v>491</v>
      </c>
      <c r="T142" s="114" t="s">
        <v>691</v>
      </c>
    </row>
    <row r="143">
      <c r="A143" s="114" t="s">
        <v>367</v>
      </c>
      <c r="B143" s="114" t="s">
        <v>328</v>
      </c>
      <c r="C143" s="114" t="s">
        <v>491</v>
      </c>
      <c r="D143" s="114" t="s">
        <v>491</v>
      </c>
      <c r="E143" s="114" t="s">
        <v>491</v>
      </c>
      <c r="F143" s="114" t="s">
        <v>985</v>
      </c>
      <c r="G143" s="114" t="s">
        <v>491</v>
      </c>
      <c r="H143" s="114" t="s">
        <v>491</v>
      </c>
      <c r="I143" s="114" t="s">
        <v>491</v>
      </c>
      <c r="J143" s="114" t="s">
        <v>491</v>
      </c>
      <c r="K143" s="114" t="s">
        <v>985</v>
      </c>
      <c r="L143" s="114" t="s">
        <v>491</v>
      </c>
      <c r="M143" s="114" t="s">
        <v>491</v>
      </c>
      <c r="N143" s="114" t="s">
        <v>491</v>
      </c>
      <c r="O143" s="114" t="s">
        <v>491</v>
      </c>
      <c r="P143" s="115" t="s">
        <v>994</v>
      </c>
      <c r="Q143" s="114" t="s">
        <v>985</v>
      </c>
      <c r="R143" s="115" t="s">
        <v>996</v>
      </c>
      <c r="S143" s="114" t="s">
        <v>491</v>
      </c>
      <c r="T143" s="114" t="s">
        <v>691</v>
      </c>
    </row>
    <row r="144" ht="15.75" customHeight="1">
      <c r="A144" s="114" t="s">
        <v>369</v>
      </c>
      <c r="B144" s="114" t="s">
        <v>328</v>
      </c>
      <c r="C144" s="114" t="s">
        <v>491</v>
      </c>
      <c r="D144" s="114" t="s">
        <v>491</v>
      </c>
      <c r="E144" s="114" t="s">
        <v>491</v>
      </c>
      <c r="F144" s="114" t="s">
        <v>491</v>
      </c>
      <c r="G144" s="114" t="s">
        <v>491</v>
      </c>
      <c r="H144" s="114" t="s">
        <v>491</v>
      </c>
      <c r="I144" s="114" t="s">
        <v>491</v>
      </c>
      <c r="J144" s="114" t="s">
        <v>491</v>
      </c>
      <c r="K144" s="114" t="s">
        <v>985</v>
      </c>
      <c r="L144" s="114" t="s">
        <v>491</v>
      </c>
      <c r="M144" s="114" t="s">
        <v>491</v>
      </c>
      <c r="N144" s="114" t="s">
        <v>491</v>
      </c>
      <c r="O144" s="114" t="s">
        <v>491</v>
      </c>
      <c r="P144" s="115" t="s">
        <v>994</v>
      </c>
      <c r="Q144" s="114" t="s">
        <v>985</v>
      </c>
      <c r="R144" s="115" t="s">
        <v>1016</v>
      </c>
      <c r="S144" s="114" t="s">
        <v>491</v>
      </c>
      <c r="T144" s="114" t="s">
        <v>691</v>
      </c>
    </row>
    <row r="145" ht="15.75" customHeight="1">
      <c r="A145" s="114" t="s">
        <v>371</v>
      </c>
      <c r="B145" s="114" t="s">
        <v>328</v>
      </c>
      <c r="C145" s="114" t="s">
        <v>491</v>
      </c>
      <c r="D145" s="114" t="s">
        <v>491</v>
      </c>
      <c r="E145" s="114" t="s">
        <v>491</v>
      </c>
      <c r="F145" s="114" t="s">
        <v>491</v>
      </c>
      <c r="G145" s="114" t="s">
        <v>491</v>
      </c>
      <c r="H145" s="114" t="s">
        <v>491</v>
      </c>
      <c r="I145" s="114" t="s">
        <v>491</v>
      </c>
      <c r="J145" s="114" t="s">
        <v>491</v>
      </c>
      <c r="K145" s="114" t="s">
        <v>985</v>
      </c>
      <c r="L145" s="114" t="s">
        <v>491</v>
      </c>
      <c r="M145" s="114" t="s">
        <v>491</v>
      </c>
      <c r="N145" s="114" t="s">
        <v>491</v>
      </c>
      <c r="O145" s="114" t="s">
        <v>491</v>
      </c>
      <c r="P145" s="115" t="s">
        <v>994</v>
      </c>
      <c r="Q145" s="114" t="s">
        <v>985</v>
      </c>
      <c r="R145" s="115" t="s">
        <v>1016</v>
      </c>
      <c r="S145" s="114" t="s">
        <v>491</v>
      </c>
      <c r="T145" s="114" t="s">
        <v>691</v>
      </c>
    </row>
    <row r="146" ht="15.75" customHeight="1">
      <c r="A146" s="118" t="s">
        <v>373</v>
      </c>
      <c r="B146" s="118" t="s">
        <v>374</v>
      </c>
      <c r="C146" s="118" t="s">
        <v>985</v>
      </c>
      <c r="D146" s="118" t="s">
        <v>491</v>
      </c>
      <c r="E146" s="118" t="s">
        <v>491</v>
      </c>
      <c r="F146" s="118" t="s">
        <v>491</v>
      </c>
      <c r="G146" s="118" t="s">
        <v>985</v>
      </c>
      <c r="H146" s="118" t="s">
        <v>985</v>
      </c>
      <c r="I146" s="118" t="s">
        <v>491</v>
      </c>
      <c r="J146" s="118" t="s">
        <v>491</v>
      </c>
      <c r="K146" s="118" t="s">
        <v>491</v>
      </c>
      <c r="L146" s="118" t="s">
        <v>491</v>
      </c>
      <c r="M146" s="118" t="s">
        <v>985</v>
      </c>
      <c r="N146" s="118" t="s">
        <v>491</v>
      </c>
      <c r="O146" s="118" t="s">
        <v>491</v>
      </c>
      <c r="P146" s="119" t="s">
        <v>1011</v>
      </c>
      <c r="Q146" s="118" t="s">
        <v>491</v>
      </c>
      <c r="R146" s="119" t="s">
        <v>1032</v>
      </c>
      <c r="S146" s="118" t="s">
        <v>985</v>
      </c>
      <c r="T146" s="118" t="s">
        <v>691</v>
      </c>
    </row>
    <row r="147" ht="15.75" customHeight="1">
      <c r="A147" s="118" t="s">
        <v>380</v>
      </c>
      <c r="B147" s="118" t="s">
        <v>374</v>
      </c>
      <c r="C147" s="118" t="s">
        <v>985</v>
      </c>
      <c r="D147" s="118" t="s">
        <v>491</v>
      </c>
      <c r="E147" s="118" t="s">
        <v>491</v>
      </c>
      <c r="F147" s="118" t="s">
        <v>491</v>
      </c>
      <c r="G147" s="118" t="s">
        <v>985</v>
      </c>
      <c r="H147" s="118" t="s">
        <v>985</v>
      </c>
      <c r="I147" s="118" t="s">
        <v>491</v>
      </c>
      <c r="J147" s="118" t="s">
        <v>985</v>
      </c>
      <c r="K147" s="118" t="s">
        <v>491</v>
      </c>
      <c r="L147" s="118" t="s">
        <v>985</v>
      </c>
      <c r="M147" s="118" t="s">
        <v>491</v>
      </c>
      <c r="N147" s="118" t="s">
        <v>491</v>
      </c>
      <c r="O147" s="118" t="s">
        <v>985</v>
      </c>
      <c r="P147" s="119" t="s">
        <v>1033</v>
      </c>
      <c r="Q147" s="118" t="s">
        <v>985</v>
      </c>
      <c r="R147" s="119" t="s">
        <v>1032</v>
      </c>
      <c r="S147" s="118" t="s">
        <v>491</v>
      </c>
      <c r="T147" s="118" t="s">
        <v>1034</v>
      </c>
    </row>
    <row r="148" ht="15.75" customHeight="1">
      <c r="A148" s="118" t="s">
        <v>382</v>
      </c>
      <c r="B148" s="118" t="s">
        <v>374</v>
      </c>
      <c r="C148" s="118" t="s">
        <v>985</v>
      </c>
      <c r="D148" s="118" t="s">
        <v>491</v>
      </c>
      <c r="E148" s="118" t="s">
        <v>491</v>
      </c>
      <c r="F148" s="118" t="s">
        <v>491</v>
      </c>
      <c r="G148" s="118" t="s">
        <v>985</v>
      </c>
      <c r="H148" s="118" t="s">
        <v>491</v>
      </c>
      <c r="I148" s="118" t="s">
        <v>491</v>
      </c>
      <c r="J148" s="118" t="s">
        <v>985</v>
      </c>
      <c r="K148" s="118" t="s">
        <v>491</v>
      </c>
      <c r="L148" s="118" t="s">
        <v>985</v>
      </c>
      <c r="M148" s="118" t="s">
        <v>985</v>
      </c>
      <c r="N148" s="118" t="s">
        <v>491</v>
      </c>
      <c r="O148" s="118" t="s">
        <v>985</v>
      </c>
      <c r="P148" s="119" t="s">
        <v>1035</v>
      </c>
      <c r="Q148" s="118" t="s">
        <v>985</v>
      </c>
      <c r="R148" s="119" t="s">
        <v>1032</v>
      </c>
      <c r="S148" s="118" t="s">
        <v>491</v>
      </c>
      <c r="T148" s="118" t="s">
        <v>1036</v>
      </c>
    </row>
    <row r="149" ht="15.75" customHeight="1">
      <c r="A149" s="118" t="s">
        <v>384</v>
      </c>
      <c r="B149" s="118" t="s">
        <v>374</v>
      </c>
      <c r="C149" s="118" t="s">
        <v>491</v>
      </c>
      <c r="D149" s="118" t="s">
        <v>491</v>
      </c>
      <c r="E149" s="118" t="s">
        <v>491</v>
      </c>
      <c r="F149" s="118" t="s">
        <v>985</v>
      </c>
      <c r="G149" s="118" t="s">
        <v>491</v>
      </c>
      <c r="H149" s="118" t="s">
        <v>491</v>
      </c>
      <c r="I149" s="118" t="s">
        <v>491</v>
      </c>
      <c r="J149" s="118" t="s">
        <v>985</v>
      </c>
      <c r="K149" s="118" t="s">
        <v>491</v>
      </c>
      <c r="L149" s="118" t="s">
        <v>985</v>
      </c>
      <c r="M149" s="118" t="s">
        <v>985</v>
      </c>
      <c r="N149" s="118" t="s">
        <v>491</v>
      </c>
      <c r="O149" s="118" t="s">
        <v>985</v>
      </c>
      <c r="P149" s="119" t="s">
        <v>1033</v>
      </c>
      <c r="Q149" s="118" t="s">
        <v>985</v>
      </c>
      <c r="R149" s="119" t="s">
        <v>1032</v>
      </c>
      <c r="S149" s="118" t="s">
        <v>985</v>
      </c>
      <c r="T149" s="118" t="s">
        <v>1037</v>
      </c>
    </row>
    <row r="150" ht="15.75" customHeight="1">
      <c r="A150" s="118" t="s">
        <v>386</v>
      </c>
      <c r="B150" s="118" t="s">
        <v>374</v>
      </c>
      <c r="C150" s="118" t="s">
        <v>985</v>
      </c>
      <c r="D150" s="118" t="s">
        <v>491</v>
      </c>
      <c r="E150" s="118" t="s">
        <v>491</v>
      </c>
      <c r="F150" s="118" t="s">
        <v>491</v>
      </c>
      <c r="G150" s="118" t="s">
        <v>985</v>
      </c>
      <c r="H150" s="118" t="s">
        <v>985</v>
      </c>
      <c r="I150" s="118" t="s">
        <v>491</v>
      </c>
      <c r="J150" s="118" t="s">
        <v>985</v>
      </c>
      <c r="K150" s="118" t="s">
        <v>491</v>
      </c>
      <c r="L150" s="118" t="s">
        <v>985</v>
      </c>
      <c r="M150" s="118" t="s">
        <v>491</v>
      </c>
      <c r="N150" s="118" t="s">
        <v>491</v>
      </c>
      <c r="O150" s="118" t="s">
        <v>985</v>
      </c>
      <c r="P150" s="119" t="s">
        <v>1033</v>
      </c>
      <c r="Q150" s="118" t="s">
        <v>985</v>
      </c>
      <c r="R150" s="119" t="s">
        <v>1032</v>
      </c>
      <c r="S150" s="118" t="s">
        <v>491</v>
      </c>
      <c r="T150" s="118" t="s">
        <v>1038</v>
      </c>
    </row>
    <row r="151" ht="15.75" customHeight="1">
      <c r="A151" s="118" t="s">
        <v>388</v>
      </c>
      <c r="B151" s="118" t="s">
        <v>374</v>
      </c>
      <c r="C151" s="118" t="s">
        <v>985</v>
      </c>
      <c r="D151" s="118" t="s">
        <v>491</v>
      </c>
      <c r="E151" s="118" t="s">
        <v>491</v>
      </c>
      <c r="F151" s="118" t="s">
        <v>491</v>
      </c>
      <c r="G151" s="118" t="s">
        <v>985</v>
      </c>
      <c r="H151" s="118" t="s">
        <v>985</v>
      </c>
      <c r="I151" s="118" t="s">
        <v>491</v>
      </c>
      <c r="J151" s="118" t="s">
        <v>985</v>
      </c>
      <c r="K151" s="118" t="s">
        <v>491</v>
      </c>
      <c r="L151" s="118" t="s">
        <v>985</v>
      </c>
      <c r="M151" s="118" t="s">
        <v>491</v>
      </c>
      <c r="N151" s="118" t="s">
        <v>491</v>
      </c>
      <c r="O151" s="118" t="s">
        <v>985</v>
      </c>
      <c r="P151" s="119" t="s">
        <v>1033</v>
      </c>
      <c r="Q151" s="118" t="s">
        <v>985</v>
      </c>
      <c r="R151" s="119" t="s">
        <v>1032</v>
      </c>
      <c r="S151" s="118" t="s">
        <v>491</v>
      </c>
      <c r="T151" s="118" t="s">
        <v>1039</v>
      </c>
    </row>
    <row r="152" ht="15.75" customHeight="1">
      <c r="A152" s="118" t="s">
        <v>390</v>
      </c>
      <c r="B152" s="118" t="s">
        <v>374</v>
      </c>
      <c r="C152" s="118" t="s">
        <v>985</v>
      </c>
      <c r="D152" s="118" t="s">
        <v>491</v>
      </c>
      <c r="E152" s="118" t="s">
        <v>491</v>
      </c>
      <c r="F152" s="118" t="s">
        <v>491</v>
      </c>
      <c r="G152" s="118" t="s">
        <v>985</v>
      </c>
      <c r="H152" s="118" t="s">
        <v>985</v>
      </c>
      <c r="I152" s="118" t="s">
        <v>491</v>
      </c>
      <c r="J152" s="118" t="s">
        <v>985</v>
      </c>
      <c r="K152" s="118" t="s">
        <v>491</v>
      </c>
      <c r="L152" s="118" t="s">
        <v>985</v>
      </c>
      <c r="M152" s="118" t="s">
        <v>985</v>
      </c>
      <c r="N152" s="118" t="s">
        <v>491</v>
      </c>
      <c r="O152" s="118" t="s">
        <v>985</v>
      </c>
      <c r="P152" s="119" t="s">
        <v>1033</v>
      </c>
      <c r="Q152" s="118" t="s">
        <v>985</v>
      </c>
      <c r="R152" s="119" t="s">
        <v>1032</v>
      </c>
      <c r="S152" s="118" t="s">
        <v>491</v>
      </c>
      <c r="T152" s="118" t="s">
        <v>1040</v>
      </c>
    </row>
    <row r="153" ht="15.75" customHeight="1">
      <c r="A153" s="118" t="s">
        <v>392</v>
      </c>
      <c r="B153" s="118" t="s">
        <v>374</v>
      </c>
      <c r="C153" s="118" t="s">
        <v>985</v>
      </c>
      <c r="D153" s="118" t="s">
        <v>491</v>
      </c>
      <c r="E153" s="118" t="s">
        <v>985</v>
      </c>
      <c r="F153" s="118" t="s">
        <v>985</v>
      </c>
      <c r="G153" s="118" t="s">
        <v>491</v>
      </c>
      <c r="H153" s="118" t="s">
        <v>985</v>
      </c>
      <c r="I153" s="118" t="s">
        <v>491</v>
      </c>
      <c r="J153" s="118" t="s">
        <v>985</v>
      </c>
      <c r="K153" s="118" t="s">
        <v>985</v>
      </c>
      <c r="L153" s="118" t="s">
        <v>491</v>
      </c>
      <c r="M153" s="118" t="s">
        <v>985</v>
      </c>
      <c r="N153" s="118" t="s">
        <v>491</v>
      </c>
      <c r="O153" s="118" t="s">
        <v>985</v>
      </c>
      <c r="P153" s="119" t="s">
        <v>1033</v>
      </c>
      <c r="Q153" s="118" t="s">
        <v>985</v>
      </c>
      <c r="R153" s="119" t="s">
        <v>1032</v>
      </c>
      <c r="S153" s="118" t="s">
        <v>491</v>
      </c>
      <c r="T153" s="118" t="s">
        <v>691</v>
      </c>
    </row>
    <row r="154" ht="15.75" customHeight="1">
      <c r="A154" s="118" t="s">
        <v>394</v>
      </c>
      <c r="B154" s="118" t="s">
        <v>374</v>
      </c>
      <c r="C154" s="118" t="s">
        <v>985</v>
      </c>
      <c r="D154" s="118" t="s">
        <v>491</v>
      </c>
      <c r="E154" s="118" t="s">
        <v>491</v>
      </c>
      <c r="F154" s="118" t="s">
        <v>491</v>
      </c>
      <c r="G154" s="118" t="s">
        <v>985</v>
      </c>
      <c r="H154" s="118" t="s">
        <v>985</v>
      </c>
      <c r="I154" s="118" t="s">
        <v>491</v>
      </c>
      <c r="J154" s="118" t="s">
        <v>985</v>
      </c>
      <c r="K154" s="118" t="s">
        <v>491</v>
      </c>
      <c r="L154" s="118" t="s">
        <v>985</v>
      </c>
      <c r="M154" s="118" t="s">
        <v>985</v>
      </c>
      <c r="N154" s="118" t="s">
        <v>985</v>
      </c>
      <c r="O154" s="118" t="s">
        <v>985</v>
      </c>
      <c r="P154" s="119" t="s">
        <v>1002</v>
      </c>
      <c r="Q154" s="118" t="s">
        <v>985</v>
      </c>
      <c r="R154" s="119" t="s">
        <v>1032</v>
      </c>
      <c r="S154" s="118" t="s">
        <v>491</v>
      </c>
      <c r="T154" s="118" t="s">
        <v>1041</v>
      </c>
    </row>
    <row r="155" ht="15.75" customHeight="1">
      <c r="A155" s="118" t="s">
        <v>396</v>
      </c>
      <c r="B155" s="118" t="s">
        <v>374</v>
      </c>
      <c r="C155" s="118" t="s">
        <v>985</v>
      </c>
      <c r="D155" s="118" t="s">
        <v>491</v>
      </c>
      <c r="E155" s="118" t="s">
        <v>491</v>
      </c>
      <c r="F155" s="118" t="s">
        <v>491</v>
      </c>
      <c r="G155" s="118" t="s">
        <v>985</v>
      </c>
      <c r="H155" s="118" t="s">
        <v>985</v>
      </c>
      <c r="I155" s="118" t="s">
        <v>491</v>
      </c>
      <c r="J155" s="118" t="s">
        <v>985</v>
      </c>
      <c r="K155" s="118" t="s">
        <v>491</v>
      </c>
      <c r="L155" s="118" t="s">
        <v>985</v>
      </c>
      <c r="M155" s="118" t="s">
        <v>985</v>
      </c>
      <c r="N155" s="118" t="s">
        <v>491</v>
      </c>
      <c r="O155" s="118" t="s">
        <v>985</v>
      </c>
      <c r="P155" s="119" t="s">
        <v>1033</v>
      </c>
      <c r="Q155" s="118" t="s">
        <v>985</v>
      </c>
      <c r="R155" s="119" t="s">
        <v>1032</v>
      </c>
      <c r="S155" s="118" t="s">
        <v>491</v>
      </c>
      <c r="T155" s="118" t="s">
        <v>1042</v>
      </c>
    </row>
    <row r="156" ht="15.75" customHeight="1">
      <c r="A156" s="118" t="s">
        <v>398</v>
      </c>
      <c r="B156" s="118" t="s">
        <v>374</v>
      </c>
      <c r="C156" s="118" t="s">
        <v>985</v>
      </c>
      <c r="D156" s="118" t="s">
        <v>491</v>
      </c>
      <c r="E156" s="118" t="s">
        <v>491</v>
      </c>
      <c r="F156" s="118" t="s">
        <v>491</v>
      </c>
      <c r="G156" s="118" t="s">
        <v>985</v>
      </c>
      <c r="H156" s="118" t="s">
        <v>985</v>
      </c>
      <c r="I156" s="118" t="s">
        <v>491</v>
      </c>
      <c r="J156" s="118" t="s">
        <v>985</v>
      </c>
      <c r="K156" s="118" t="s">
        <v>491</v>
      </c>
      <c r="L156" s="118" t="s">
        <v>985</v>
      </c>
      <c r="M156" s="118" t="s">
        <v>985</v>
      </c>
      <c r="N156" s="118" t="s">
        <v>491</v>
      </c>
      <c r="O156" s="118" t="s">
        <v>491</v>
      </c>
      <c r="P156" s="119" t="s">
        <v>994</v>
      </c>
      <c r="Q156" s="118" t="s">
        <v>491</v>
      </c>
      <c r="R156" s="119" t="s">
        <v>1032</v>
      </c>
      <c r="S156" s="118" t="s">
        <v>985</v>
      </c>
      <c r="T156" s="118" t="s">
        <v>1043</v>
      </c>
    </row>
    <row r="157" ht="15.75" customHeight="1">
      <c r="A157" s="118" t="s">
        <v>403</v>
      </c>
      <c r="B157" s="118" t="s">
        <v>374</v>
      </c>
      <c r="C157" s="118" t="s">
        <v>985</v>
      </c>
      <c r="D157" s="118" t="s">
        <v>491</v>
      </c>
      <c r="E157" s="118" t="s">
        <v>491</v>
      </c>
      <c r="F157" s="118" t="s">
        <v>491</v>
      </c>
      <c r="G157" s="118" t="s">
        <v>985</v>
      </c>
      <c r="H157" s="118" t="s">
        <v>985</v>
      </c>
      <c r="I157" s="118" t="s">
        <v>491</v>
      </c>
      <c r="J157" s="118" t="s">
        <v>985</v>
      </c>
      <c r="K157" s="118" t="s">
        <v>491</v>
      </c>
      <c r="L157" s="118" t="s">
        <v>985</v>
      </c>
      <c r="M157" s="118" t="s">
        <v>491</v>
      </c>
      <c r="N157" s="118" t="s">
        <v>491</v>
      </c>
      <c r="O157" s="118" t="s">
        <v>491</v>
      </c>
      <c r="P157" s="119" t="s">
        <v>994</v>
      </c>
      <c r="Q157" s="118" t="s">
        <v>491</v>
      </c>
      <c r="R157" s="119"/>
      <c r="S157" s="118" t="s">
        <v>491</v>
      </c>
      <c r="T157" s="118" t="s">
        <v>1044</v>
      </c>
    </row>
    <row r="158" ht="15.75" customHeight="1">
      <c r="A158" s="118" t="s">
        <v>405</v>
      </c>
      <c r="B158" s="118" t="s">
        <v>374</v>
      </c>
      <c r="C158" s="118" t="s">
        <v>985</v>
      </c>
      <c r="D158" s="118" t="s">
        <v>491</v>
      </c>
      <c r="E158" s="118" t="s">
        <v>491</v>
      </c>
      <c r="F158" s="118" t="s">
        <v>985</v>
      </c>
      <c r="G158" s="118" t="s">
        <v>985</v>
      </c>
      <c r="H158" s="118" t="s">
        <v>985</v>
      </c>
      <c r="I158" s="118" t="s">
        <v>491</v>
      </c>
      <c r="J158" s="118" t="s">
        <v>985</v>
      </c>
      <c r="K158" s="118" t="s">
        <v>491</v>
      </c>
      <c r="L158" s="118" t="s">
        <v>985</v>
      </c>
      <c r="M158" s="118" t="s">
        <v>985</v>
      </c>
      <c r="N158" s="118" t="s">
        <v>985</v>
      </c>
      <c r="O158" s="118" t="s">
        <v>985</v>
      </c>
      <c r="P158" s="119" t="s">
        <v>1035</v>
      </c>
      <c r="Q158" s="118" t="s">
        <v>491</v>
      </c>
      <c r="R158" s="119"/>
      <c r="S158" s="118" t="s">
        <v>985</v>
      </c>
      <c r="T158" s="118" t="s">
        <v>691</v>
      </c>
    </row>
    <row r="159" ht="15.75" customHeight="1">
      <c r="A159" s="118" t="s">
        <v>408</v>
      </c>
      <c r="B159" s="118" t="s">
        <v>374</v>
      </c>
      <c r="C159" s="118" t="s">
        <v>985</v>
      </c>
      <c r="D159" s="118" t="s">
        <v>491</v>
      </c>
      <c r="E159" s="118" t="s">
        <v>491</v>
      </c>
      <c r="F159" s="118" t="s">
        <v>491</v>
      </c>
      <c r="G159" s="118" t="s">
        <v>985</v>
      </c>
      <c r="H159" s="118" t="s">
        <v>985</v>
      </c>
      <c r="I159" s="118" t="s">
        <v>491</v>
      </c>
      <c r="J159" s="118" t="s">
        <v>985</v>
      </c>
      <c r="K159" s="118" t="s">
        <v>491</v>
      </c>
      <c r="L159" s="118" t="s">
        <v>985</v>
      </c>
      <c r="M159" s="118" t="s">
        <v>985</v>
      </c>
      <c r="N159" s="118" t="s">
        <v>985</v>
      </c>
      <c r="O159" s="118" t="s">
        <v>985</v>
      </c>
      <c r="P159" s="119" t="s">
        <v>1002</v>
      </c>
      <c r="Q159" s="118" t="s">
        <v>491</v>
      </c>
      <c r="R159" s="119"/>
      <c r="S159" s="118" t="s">
        <v>491</v>
      </c>
      <c r="T159" s="118" t="s">
        <v>1045</v>
      </c>
    </row>
    <row r="160" ht="15.75" customHeight="1">
      <c r="A160" s="118" t="s">
        <v>410</v>
      </c>
      <c r="B160" s="118" t="s">
        <v>374</v>
      </c>
      <c r="C160" s="118" t="s">
        <v>985</v>
      </c>
      <c r="D160" s="118" t="s">
        <v>491</v>
      </c>
      <c r="E160" s="118" t="s">
        <v>491</v>
      </c>
      <c r="F160" s="118" t="s">
        <v>491</v>
      </c>
      <c r="G160" s="118" t="s">
        <v>985</v>
      </c>
      <c r="H160" s="118" t="s">
        <v>985</v>
      </c>
      <c r="I160" s="118" t="s">
        <v>491</v>
      </c>
      <c r="J160" s="118" t="s">
        <v>985</v>
      </c>
      <c r="K160" s="118" t="s">
        <v>491</v>
      </c>
      <c r="L160" s="118" t="s">
        <v>985</v>
      </c>
      <c r="M160" s="118" t="s">
        <v>985</v>
      </c>
      <c r="N160" s="118" t="s">
        <v>985</v>
      </c>
      <c r="O160" s="118" t="s">
        <v>985</v>
      </c>
      <c r="P160" s="119" t="s">
        <v>1033</v>
      </c>
      <c r="Q160" s="118" t="s">
        <v>491</v>
      </c>
      <c r="R160" s="119"/>
      <c r="S160" s="118" t="s">
        <v>491</v>
      </c>
      <c r="T160" s="118" t="s">
        <v>1046</v>
      </c>
    </row>
    <row r="161" ht="15.75" customHeight="1">
      <c r="A161" s="118" t="s">
        <v>412</v>
      </c>
      <c r="B161" s="118" t="s">
        <v>374</v>
      </c>
      <c r="C161" s="118" t="s">
        <v>985</v>
      </c>
      <c r="D161" s="118" t="s">
        <v>491</v>
      </c>
      <c r="E161" s="118" t="s">
        <v>491</v>
      </c>
      <c r="F161" s="118" t="s">
        <v>491</v>
      </c>
      <c r="G161" s="118" t="s">
        <v>985</v>
      </c>
      <c r="H161" s="118" t="s">
        <v>985</v>
      </c>
      <c r="I161" s="118" t="s">
        <v>491</v>
      </c>
      <c r="J161" s="118" t="s">
        <v>985</v>
      </c>
      <c r="K161" s="118" t="s">
        <v>491</v>
      </c>
      <c r="L161" s="118" t="s">
        <v>985</v>
      </c>
      <c r="M161" s="118" t="s">
        <v>985</v>
      </c>
      <c r="N161" s="118" t="s">
        <v>491</v>
      </c>
      <c r="O161" s="118" t="s">
        <v>491</v>
      </c>
      <c r="P161" s="119" t="s">
        <v>1035</v>
      </c>
      <c r="Q161" s="118" t="s">
        <v>985</v>
      </c>
      <c r="R161" s="119"/>
      <c r="S161" s="118" t="s">
        <v>491</v>
      </c>
      <c r="T161" s="118" t="s">
        <v>691</v>
      </c>
    </row>
    <row r="162" ht="15.75" customHeight="1">
      <c r="A162" s="118" t="s">
        <v>415</v>
      </c>
      <c r="B162" s="118" t="s">
        <v>374</v>
      </c>
      <c r="C162" s="118" t="s">
        <v>985</v>
      </c>
      <c r="D162" s="118" t="s">
        <v>491</v>
      </c>
      <c r="E162" s="118" t="s">
        <v>491</v>
      </c>
      <c r="F162" s="118" t="s">
        <v>491</v>
      </c>
      <c r="G162" s="118" t="s">
        <v>985</v>
      </c>
      <c r="H162" s="118" t="s">
        <v>985</v>
      </c>
      <c r="I162" s="118" t="s">
        <v>491</v>
      </c>
      <c r="J162" s="118" t="s">
        <v>985</v>
      </c>
      <c r="K162" s="118" t="s">
        <v>491</v>
      </c>
      <c r="L162" s="118" t="s">
        <v>985</v>
      </c>
      <c r="M162" s="118" t="s">
        <v>985</v>
      </c>
      <c r="N162" s="118" t="s">
        <v>985</v>
      </c>
      <c r="O162" s="118" t="s">
        <v>985</v>
      </c>
      <c r="P162" s="119" t="s">
        <v>1035</v>
      </c>
      <c r="Q162" s="118" t="s">
        <v>491</v>
      </c>
      <c r="R162" s="119"/>
      <c r="S162" s="118" t="s">
        <v>491</v>
      </c>
      <c r="T162" s="118" t="s">
        <v>691</v>
      </c>
    </row>
    <row r="163" ht="15.75" customHeight="1">
      <c r="A163" s="118" t="s">
        <v>417</v>
      </c>
      <c r="B163" s="118" t="s">
        <v>374</v>
      </c>
      <c r="C163" s="118" t="s">
        <v>985</v>
      </c>
      <c r="D163" s="118" t="s">
        <v>491</v>
      </c>
      <c r="E163" s="118" t="s">
        <v>491</v>
      </c>
      <c r="F163" s="118" t="s">
        <v>491</v>
      </c>
      <c r="G163" s="118" t="s">
        <v>985</v>
      </c>
      <c r="H163" s="118" t="s">
        <v>985</v>
      </c>
      <c r="I163" s="118" t="s">
        <v>491</v>
      </c>
      <c r="J163" s="118" t="s">
        <v>985</v>
      </c>
      <c r="K163" s="118" t="s">
        <v>491</v>
      </c>
      <c r="L163" s="118" t="s">
        <v>985</v>
      </c>
      <c r="M163" s="118" t="s">
        <v>985</v>
      </c>
      <c r="N163" s="118" t="s">
        <v>985</v>
      </c>
      <c r="O163" s="118" t="s">
        <v>985</v>
      </c>
      <c r="P163" s="119" t="s">
        <v>1002</v>
      </c>
      <c r="Q163" s="118" t="s">
        <v>985</v>
      </c>
      <c r="R163" s="119"/>
      <c r="S163" s="118" t="s">
        <v>985</v>
      </c>
      <c r="T163" s="118" t="s">
        <v>1047</v>
      </c>
    </row>
    <row r="164" ht="15.75" customHeight="1">
      <c r="A164" s="118" t="s">
        <v>419</v>
      </c>
      <c r="B164" s="118" t="s">
        <v>374</v>
      </c>
      <c r="C164" s="118" t="s">
        <v>985</v>
      </c>
      <c r="D164" s="118" t="s">
        <v>491</v>
      </c>
      <c r="E164" s="118" t="s">
        <v>491</v>
      </c>
      <c r="F164" s="118" t="s">
        <v>491</v>
      </c>
      <c r="G164" s="118" t="s">
        <v>985</v>
      </c>
      <c r="H164" s="118" t="s">
        <v>985</v>
      </c>
      <c r="I164" s="118" t="s">
        <v>491</v>
      </c>
      <c r="J164" s="118" t="s">
        <v>985</v>
      </c>
      <c r="K164" s="118" t="s">
        <v>491</v>
      </c>
      <c r="L164" s="118" t="s">
        <v>985</v>
      </c>
      <c r="M164" s="118" t="s">
        <v>985</v>
      </c>
      <c r="N164" s="118" t="s">
        <v>985</v>
      </c>
      <c r="O164" s="118" t="s">
        <v>985</v>
      </c>
      <c r="P164" s="119" t="s">
        <v>994</v>
      </c>
      <c r="Q164" s="118" t="s">
        <v>491</v>
      </c>
      <c r="R164" s="119"/>
      <c r="S164" s="118" t="s">
        <v>491</v>
      </c>
      <c r="T164" s="118" t="s">
        <v>691</v>
      </c>
    </row>
    <row r="165" ht="15.75" customHeight="1">
      <c r="A165" s="118" t="s">
        <v>421</v>
      </c>
      <c r="B165" s="118" t="s">
        <v>374</v>
      </c>
      <c r="C165" s="118" t="s">
        <v>985</v>
      </c>
      <c r="D165" s="118" t="s">
        <v>491</v>
      </c>
      <c r="E165" s="118" t="s">
        <v>491</v>
      </c>
      <c r="F165" s="118" t="s">
        <v>491</v>
      </c>
      <c r="G165" s="118" t="s">
        <v>985</v>
      </c>
      <c r="H165" s="118" t="s">
        <v>985</v>
      </c>
      <c r="I165" s="118" t="s">
        <v>491</v>
      </c>
      <c r="J165" s="118" t="s">
        <v>985</v>
      </c>
      <c r="K165" s="118" t="s">
        <v>491</v>
      </c>
      <c r="L165" s="118" t="s">
        <v>985</v>
      </c>
      <c r="M165" s="118" t="s">
        <v>985</v>
      </c>
      <c r="N165" s="118" t="s">
        <v>985</v>
      </c>
      <c r="O165" s="118" t="s">
        <v>985</v>
      </c>
      <c r="P165" s="119" t="s">
        <v>994</v>
      </c>
      <c r="Q165" s="118" t="s">
        <v>491</v>
      </c>
      <c r="R165" s="119"/>
      <c r="S165" s="118" t="s">
        <v>985</v>
      </c>
      <c r="T165" s="118" t="s">
        <v>691</v>
      </c>
    </row>
    <row r="166" ht="15.75" customHeight="1">
      <c r="A166" s="118" t="s">
        <v>423</v>
      </c>
      <c r="B166" s="118" t="s">
        <v>374</v>
      </c>
      <c r="C166" s="118" t="s">
        <v>985</v>
      </c>
      <c r="D166" s="118" t="s">
        <v>491</v>
      </c>
      <c r="E166" s="118" t="s">
        <v>491</v>
      </c>
      <c r="F166" s="118" t="s">
        <v>491</v>
      </c>
      <c r="G166" s="118" t="s">
        <v>985</v>
      </c>
      <c r="H166" s="118" t="s">
        <v>985</v>
      </c>
      <c r="I166" s="118" t="s">
        <v>491</v>
      </c>
      <c r="J166" s="118" t="s">
        <v>985</v>
      </c>
      <c r="K166" s="118" t="s">
        <v>491</v>
      </c>
      <c r="L166" s="118" t="s">
        <v>985</v>
      </c>
      <c r="M166" s="118" t="s">
        <v>985</v>
      </c>
      <c r="N166" s="118" t="s">
        <v>985</v>
      </c>
      <c r="O166" s="118" t="s">
        <v>985</v>
      </c>
      <c r="P166" s="119" t="s">
        <v>999</v>
      </c>
      <c r="Q166" s="118" t="s">
        <v>491</v>
      </c>
      <c r="R166" s="119"/>
      <c r="S166" s="118" t="s">
        <v>985</v>
      </c>
      <c r="T166" s="118"/>
    </row>
    <row r="167" ht="15.75" customHeight="1">
      <c r="A167" s="118" t="s">
        <v>427</v>
      </c>
      <c r="B167" s="118" t="s">
        <v>374</v>
      </c>
      <c r="C167" s="118" t="s">
        <v>985</v>
      </c>
      <c r="D167" s="118" t="s">
        <v>491</v>
      </c>
      <c r="E167" s="118" t="s">
        <v>491</v>
      </c>
      <c r="F167" s="118" t="s">
        <v>491</v>
      </c>
      <c r="G167" s="118" t="s">
        <v>985</v>
      </c>
      <c r="H167" s="118" t="s">
        <v>985</v>
      </c>
      <c r="I167" s="118" t="s">
        <v>491</v>
      </c>
      <c r="J167" s="118" t="s">
        <v>985</v>
      </c>
      <c r="K167" s="118" t="s">
        <v>491</v>
      </c>
      <c r="L167" s="118" t="s">
        <v>985</v>
      </c>
      <c r="M167" s="118" t="s">
        <v>985</v>
      </c>
      <c r="N167" s="118" t="s">
        <v>985</v>
      </c>
      <c r="O167" s="118" t="s">
        <v>985</v>
      </c>
      <c r="P167" s="119" t="s">
        <v>999</v>
      </c>
      <c r="Q167" s="118" t="s">
        <v>491</v>
      </c>
      <c r="R167" s="119"/>
      <c r="S167" s="118" t="s">
        <v>985</v>
      </c>
      <c r="T167" s="118"/>
    </row>
    <row r="168" ht="15.75" customHeight="1">
      <c r="A168" s="118" t="s">
        <v>429</v>
      </c>
      <c r="B168" s="118" t="s">
        <v>374</v>
      </c>
      <c r="C168" s="118" t="s">
        <v>985</v>
      </c>
      <c r="D168" s="118" t="s">
        <v>491</v>
      </c>
      <c r="E168" s="118" t="s">
        <v>491</v>
      </c>
      <c r="F168" s="118" t="s">
        <v>491</v>
      </c>
      <c r="G168" s="118" t="s">
        <v>985</v>
      </c>
      <c r="H168" s="118" t="s">
        <v>985</v>
      </c>
      <c r="I168" s="118" t="s">
        <v>491</v>
      </c>
      <c r="J168" s="118" t="s">
        <v>985</v>
      </c>
      <c r="K168" s="118" t="s">
        <v>491</v>
      </c>
      <c r="L168" s="118" t="s">
        <v>985</v>
      </c>
      <c r="M168" s="118" t="s">
        <v>985</v>
      </c>
      <c r="N168" s="118" t="s">
        <v>985</v>
      </c>
      <c r="O168" s="118" t="s">
        <v>985</v>
      </c>
      <c r="P168" s="119" t="s">
        <v>999</v>
      </c>
      <c r="Q168" s="118" t="s">
        <v>491</v>
      </c>
      <c r="R168" s="119"/>
      <c r="S168" s="118" t="s">
        <v>985</v>
      </c>
      <c r="T168" s="118"/>
    </row>
    <row r="169" ht="15.75" customHeight="1">
      <c r="A169" s="118" t="s">
        <v>431</v>
      </c>
      <c r="B169" s="118" t="s">
        <v>374</v>
      </c>
      <c r="C169" s="118" t="s">
        <v>985</v>
      </c>
      <c r="D169" s="118" t="s">
        <v>491</v>
      </c>
      <c r="E169" s="118" t="s">
        <v>491</v>
      </c>
      <c r="F169" s="118" t="s">
        <v>491</v>
      </c>
      <c r="G169" s="118" t="s">
        <v>985</v>
      </c>
      <c r="H169" s="118" t="s">
        <v>985</v>
      </c>
      <c r="I169" s="118" t="s">
        <v>491</v>
      </c>
      <c r="J169" s="118" t="s">
        <v>985</v>
      </c>
      <c r="K169" s="118" t="s">
        <v>491</v>
      </c>
      <c r="L169" s="118" t="s">
        <v>985</v>
      </c>
      <c r="M169" s="118" t="s">
        <v>985</v>
      </c>
      <c r="N169" s="118" t="s">
        <v>985</v>
      </c>
      <c r="O169" s="118" t="s">
        <v>985</v>
      </c>
      <c r="P169" s="119" t="s">
        <v>999</v>
      </c>
      <c r="Q169" s="118" t="s">
        <v>491</v>
      </c>
      <c r="R169" s="119"/>
      <c r="S169" s="118" t="s">
        <v>985</v>
      </c>
      <c r="T169" s="118"/>
    </row>
    <row r="170" ht="15.75" customHeight="1">
      <c r="A170" s="118" t="s">
        <v>433</v>
      </c>
      <c r="B170" s="118" t="s">
        <v>374</v>
      </c>
      <c r="C170" s="118" t="s">
        <v>985</v>
      </c>
      <c r="D170" s="118" t="s">
        <v>491</v>
      </c>
      <c r="E170" s="118" t="s">
        <v>491</v>
      </c>
      <c r="F170" s="118" t="s">
        <v>491</v>
      </c>
      <c r="G170" s="118" t="s">
        <v>985</v>
      </c>
      <c r="H170" s="118" t="s">
        <v>985</v>
      </c>
      <c r="I170" s="118" t="s">
        <v>491</v>
      </c>
      <c r="J170" s="118" t="s">
        <v>985</v>
      </c>
      <c r="K170" s="118" t="s">
        <v>491</v>
      </c>
      <c r="L170" s="118" t="s">
        <v>985</v>
      </c>
      <c r="M170" s="118" t="s">
        <v>985</v>
      </c>
      <c r="N170" s="118" t="s">
        <v>985</v>
      </c>
      <c r="O170" s="118" t="s">
        <v>985</v>
      </c>
      <c r="P170" s="119" t="s">
        <v>999</v>
      </c>
      <c r="Q170" s="118" t="s">
        <v>491</v>
      </c>
      <c r="R170" s="119"/>
      <c r="S170" s="118" t="s">
        <v>985</v>
      </c>
      <c r="T170" s="118"/>
    </row>
    <row r="171" ht="15.75" customHeight="1">
      <c r="A171" s="118" t="s">
        <v>435</v>
      </c>
      <c r="B171" s="118" t="s">
        <v>374</v>
      </c>
      <c r="C171" s="118" t="s">
        <v>985</v>
      </c>
      <c r="D171" s="118" t="s">
        <v>491</v>
      </c>
      <c r="E171" s="118" t="s">
        <v>491</v>
      </c>
      <c r="F171" s="118" t="s">
        <v>491</v>
      </c>
      <c r="G171" s="118" t="s">
        <v>985</v>
      </c>
      <c r="H171" s="118" t="s">
        <v>985</v>
      </c>
      <c r="I171" s="118" t="s">
        <v>491</v>
      </c>
      <c r="J171" s="118" t="s">
        <v>985</v>
      </c>
      <c r="K171" s="118" t="s">
        <v>491</v>
      </c>
      <c r="L171" s="118" t="s">
        <v>985</v>
      </c>
      <c r="M171" s="118" t="s">
        <v>985</v>
      </c>
      <c r="N171" s="118" t="s">
        <v>985</v>
      </c>
      <c r="O171" s="118" t="s">
        <v>985</v>
      </c>
      <c r="P171" s="119" t="s">
        <v>999</v>
      </c>
      <c r="Q171" s="118" t="s">
        <v>491</v>
      </c>
      <c r="R171" s="119"/>
      <c r="S171" s="118" t="s">
        <v>985</v>
      </c>
      <c r="T171" s="118"/>
    </row>
    <row r="172" ht="15.75" customHeight="1">
      <c r="A172" s="118" t="s">
        <v>436</v>
      </c>
      <c r="B172" s="118" t="s">
        <v>374</v>
      </c>
      <c r="C172" s="118" t="s">
        <v>985</v>
      </c>
      <c r="D172" s="118" t="s">
        <v>491</v>
      </c>
      <c r="E172" s="118" t="s">
        <v>491</v>
      </c>
      <c r="F172" s="118" t="s">
        <v>491</v>
      </c>
      <c r="G172" s="118" t="s">
        <v>985</v>
      </c>
      <c r="H172" s="118" t="s">
        <v>985</v>
      </c>
      <c r="I172" s="118" t="s">
        <v>491</v>
      </c>
      <c r="J172" s="118" t="s">
        <v>985</v>
      </c>
      <c r="K172" s="118" t="s">
        <v>491</v>
      </c>
      <c r="L172" s="118" t="s">
        <v>985</v>
      </c>
      <c r="M172" s="118" t="s">
        <v>985</v>
      </c>
      <c r="N172" s="118" t="s">
        <v>985</v>
      </c>
      <c r="O172" s="118" t="s">
        <v>985</v>
      </c>
      <c r="P172" s="119" t="s">
        <v>999</v>
      </c>
      <c r="Q172" s="118" t="s">
        <v>491</v>
      </c>
      <c r="R172" s="119"/>
      <c r="S172" s="118" t="s">
        <v>985</v>
      </c>
      <c r="T172" s="118"/>
    </row>
    <row r="173" ht="15.75" customHeight="1">
      <c r="A173" s="118" t="s">
        <v>438</v>
      </c>
      <c r="B173" s="118" t="s">
        <v>374</v>
      </c>
      <c r="C173" s="118" t="s">
        <v>985</v>
      </c>
      <c r="D173" s="118" t="s">
        <v>491</v>
      </c>
      <c r="E173" s="118" t="s">
        <v>491</v>
      </c>
      <c r="F173" s="118" t="s">
        <v>491</v>
      </c>
      <c r="G173" s="118" t="s">
        <v>985</v>
      </c>
      <c r="H173" s="118" t="s">
        <v>985</v>
      </c>
      <c r="I173" s="118" t="s">
        <v>491</v>
      </c>
      <c r="J173" s="118" t="s">
        <v>985</v>
      </c>
      <c r="K173" s="118" t="s">
        <v>491</v>
      </c>
      <c r="L173" s="118" t="s">
        <v>985</v>
      </c>
      <c r="M173" s="118" t="s">
        <v>985</v>
      </c>
      <c r="N173" s="118" t="s">
        <v>985</v>
      </c>
      <c r="O173" s="118" t="s">
        <v>985</v>
      </c>
      <c r="P173" s="119" t="s">
        <v>999</v>
      </c>
      <c r="Q173" s="118" t="s">
        <v>491</v>
      </c>
      <c r="R173" s="119"/>
      <c r="S173" s="118" t="s">
        <v>985</v>
      </c>
      <c r="T173" s="118"/>
    </row>
    <row r="174" ht="15.75" customHeight="1">
      <c r="A174" s="118" t="s">
        <v>442</v>
      </c>
      <c r="B174" s="118" t="s">
        <v>374</v>
      </c>
      <c r="C174" s="118" t="s">
        <v>985</v>
      </c>
      <c r="D174" s="118" t="s">
        <v>491</v>
      </c>
      <c r="E174" s="118" t="s">
        <v>491</v>
      </c>
      <c r="F174" s="118" t="s">
        <v>491</v>
      </c>
      <c r="G174" s="118" t="s">
        <v>985</v>
      </c>
      <c r="H174" s="118" t="s">
        <v>985</v>
      </c>
      <c r="I174" s="118" t="s">
        <v>491</v>
      </c>
      <c r="J174" s="118" t="s">
        <v>985</v>
      </c>
      <c r="K174" s="118" t="s">
        <v>491</v>
      </c>
      <c r="L174" s="118" t="s">
        <v>985</v>
      </c>
      <c r="M174" s="118" t="s">
        <v>985</v>
      </c>
      <c r="N174" s="118" t="s">
        <v>985</v>
      </c>
      <c r="O174" s="118" t="s">
        <v>985</v>
      </c>
      <c r="P174" s="119" t="s">
        <v>999</v>
      </c>
      <c r="Q174" s="118" t="s">
        <v>491</v>
      </c>
      <c r="R174" s="119"/>
      <c r="S174" s="118" t="s">
        <v>985</v>
      </c>
      <c r="T174" s="118"/>
    </row>
    <row r="175" ht="15.75" customHeight="1">
      <c r="A175" s="118" t="s">
        <v>443</v>
      </c>
      <c r="B175" s="118" t="s">
        <v>374</v>
      </c>
      <c r="C175" s="118" t="s">
        <v>985</v>
      </c>
      <c r="D175" s="118" t="s">
        <v>491</v>
      </c>
      <c r="E175" s="118" t="s">
        <v>491</v>
      </c>
      <c r="F175" s="118" t="s">
        <v>491</v>
      </c>
      <c r="G175" s="118" t="s">
        <v>985</v>
      </c>
      <c r="H175" s="118" t="s">
        <v>985</v>
      </c>
      <c r="I175" s="118" t="s">
        <v>491</v>
      </c>
      <c r="J175" s="118" t="s">
        <v>985</v>
      </c>
      <c r="K175" s="118" t="s">
        <v>491</v>
      </c>
      <c r="L175" s="118" t="s">
        <v>985</v>
      </c>
      <c r="M175" s="118" t="s">
        <v>985</v>
      </c>
      <c r="N175" s="118" t="s">
        <v>985</v>
      </c>
      <c r="O175" s="118" t="s">
        <v>985</v>
      </c>
      <c r="P175" s="119" t="s">
        <v>999</v>
      </c>
      <c r="Q175" s="118" t="s">
        <v>491</v>
      </c>
      <c r="R175" s="119"/>
      <c r="S175" s="118" t="s">
        <v>985</v>
      </c>
      <c r="T175" s="118"/>
    </row>
    <row r="176" ht="15.75" customHeight="1">
      <c r="A176" s="118" t="s">
        <v>445</v>
      </c>
      <c r="B176" s="118" t="s">
        <v>374</v>
      </c>
      <c r="C176" s="118" t="s">
        <v>985</v>
      </c>
      <c r="D176" s="118" t="s">
        <v>491</v>
      </c>
      <c r="E176" s="118" t="s">
        <v>491</v>
      </c>
      <c r="F176" s="118" t="s">
        <v>491</v>
      </c>
      <c r="G176" s="118" t="s">
        <v>985</v>
      </c>
      <c r="H176" s="118" t="s">
        <v>985</v>
      </c>
      <c r="I176" s="118" t="s">
        <v>491</v>
      </c>
      <c r="J176" s="118" t="s">
        <v>985</v>
      </c>
      <c r="K176" s="118" t="s">
        <v>491</v>
      </c>
      <c r="L176" s="118" t="s">
        <v>985</v>
      </c>
      <c r="M176" s="118" t="s">
        <v>985</v>
      </c>
      <c r="N176" s="118" t="s">
        <v>985</v>
      </c>
      <c r="O176" s="118" t="s">
        <v>985</v>
      </c>
      <c r="P176" s="119" t="s">
        <v>1035</v>
      </c>
      <c r="Q176" s="118" t="s">
        <v>491</v>
      </c>
      <c r="R176" s="119"/>
      <c r="S176" s="118" t="s">
        <v>985</v>
      </c>
      <c r="T176" s="118" t="s">
        <v>1048</v>
      </c>
    </row>
    <row r="177" ht="15.75" customHeight="1">
      <c r="A177" s="118" t="s">
        <v>448</v>
      </c>
      <c r="B177" s="118" t="s">
        <v>374</v>
      </c>
      <c r="C177" s="118" t="s">
        <v>985</v>
      </c>
      <c r="D177" s="118" t="s">
        <v>491</v>
      </c>
      <c r="E177" s="118" t="s">
        <v>491</v>
      </c>
      <c r="F177" s="118" t="s">
        <v>491</v>
      </c>
      <c r="G177" s="118" t="s">
        <v>985</v>
      </c>
      <c r="H177" s="118" t="s">
        <v>985</v>
      </c>
      <c r="I177" s="118" t="s">
        <v>491</v>
      </c>
      <c r="J177" s="118" t="s">
        <v>985</v>
      </c>
      <c r="K177" s="118" t="s">
        <v>491</v>
      </c>
      <c r="L177" s="118" t="s">
        <v>985</v>
      </c>
      <c r="M177" s="118" t="s">
        <v>985</v>
      </c>
      <c r="N177" s="118" t="s">
        <v>985</v>
      </c>
      <c r="O177" s="118" t="s">
        <v>985</v>
      </c>
      <c r="P177" s="119" t="s">
        <v>1002</v>
      </c>
      <c r="Q177" s="118" t="s">
        <v>491</v>
      </c>
      <c r="R177" s="119"/>
      <c r="S177" s="118" t="s">
        <v>491</v>
      </c>
      <c r="T177" s="118" t="s">
        <v>1049</v>
      </c>
    </row>
    <row r="178" ht="15.75" customHeight="1">
      <c r="A178" s="118" t="s">
        <v>450</v>
      </c>
      <c r="B178" s="118" t="s">
        <v>374</v>
      </c>
      <c r="C178" s="118" t="s">
        <v>985</v>
      </c>
      <c r="D178" s="118" t="s">
        <v>491</v>
      </c>
      <c r="E178" s="118" t="s">
        <v>491</v>
      </c>
      <c r="F178" s="118" t="s">
        <v>491</v>
      </c>
      <c r="G178" s="118" t="s">
        <v>985</v>
      </c>
      <c r="H178" s="118" t="s">
        <v>985</v>
      </c>
      <c r="I178" s="118" t="s">
        <v>491</v>
      </c>
      <c r="J178" s="118" t="s">
        <v>985</v>
      </c>
      <c r="K178" s="118" t="s">
        <v>491</v>
      </c>
      <c r="L178" s="118" t="s">
        <v>985</v>
      </c>
      <c r="M178" s="118" t="s">
        <v>985</v>
      </c>
      <c r="N178" s="118" t="s">
        <v>985</v>
      </c>
      <c r="O178" s="118" t="s">
        <v>985</v>
      </c>
      <c r="P178" s="119" t="s">
        <v>1050</v>
      </c>
      <c r="Q178" s="118" t="s">
        <v>491</v>
      </c>
      <c r="R178" s="119"/>
      <c r="S178" s="118" t="s">
        <v>491</v>
      </c>
      <c r="T178" s="118" t="s">
        <v>1051</v>
      </c>
    </row>
    <row r="179" ht="15.75" customHeight="1">
      <c r="A179" s="118" t="s">
        <v>451</v>
      </c>
      <c r="B179" s="118" t="s">
        <v>374</v>
      </c>
      <c r="C179" s="118" t="s">
        <v>985</v>
      </c>
      <c r="D179" s="118" t="s">
        <v>491</v>
      </c>
      <c r="E179" s="118" t="s">
        <v>491</v>
      </c>
      <c r="F179" s="118" t="s">
        <v>491</v>
      </c>
      <c r="G179" s="118" t="s">
        <v>985</v>
      </c>
      <c r="H179" s="118" t="s">
        <v>985</v>
      </c>
      <c r="I179" s="118" t="s">
        <v>491</v>
      </c>
      <c r="J179" s="118" t="s">
        <v>985</v>
      </c>
      <c r="K179" s="118" t="s">
        <v>491</v>
      </c>
      <c r="L179" s="118" t="s">
        <v>985</v>
      </c>
      <c r="M179" s="118" t="s">
        <v>985</v>
      </c>
      <c r="N179" s="118" t="s">
        <v>491</v>
      </c>
      <c r="O179" s="118" t="s">
        <v>985</v>
      </c>
      <c r="P179" s="119" t="s">
        <v>1035</v>
      </c>
      <c r="Q179" s="118" t="s">
        <v>491</v>
      </c>
      <c r="R179" s="119"/>
      <c r="S179" s="118" t="s">
        <v>491</v>
      </c>
      <c r="T179" s="118" t="s">
        <v>1052</v>
      </c>
    </row>
    <row r="180" ht="15.75" customHeight="1">
      <c r="A180" s="118" t="s">
        <v>453</v>
      </c>
      <c r="B180" s="118" t="s">
        <v>374</v>
      </c>
      <c r="C180" s="118" t="s">
        <v>985</v>
      </c>
      <c r="D180" s="118" t="s">
        <v>491</v>
      </c>
      <c r="E180" s="118" t="s">
        <v>491</v>
      </c>
      <c r="F180" s="118" t="s">
        <v>491</v>
      </c>
      <c r="G180" s="118" t="s">
        <v>985</v>
      </c>
      <c r="H180" s="118" t="s">
        <v>985</v>
      </c>
      <c r="I180" s="118" t="s">
        <v>491</v>
      </c>
      <c r="J180" s="118" t="s">
        <v>985</v>
      </c>
      <c r="K180" s="118" t="s">
        <v>491</v>
      </c>
      <c r="L180" s="118" t="s">
        <v>491</v>
      </c>
      <c r="M180" s="118" t="s">
        <v>985</v>
      </c>
      <c r="N180" s="118" t="s">
        <v>491</v>
      </c>
      <c r="O180" s="118" t="s">
        <v>491</v>
      </c>
      <c r="P180" s="119" t="s">
        <v>994</v>
      </c>
      <c r="Q180" s="118" t="s">
        <v>491</v>
      </c>
      <c r="R180" s="119"/>
      <c r="S180" s="118" t="s">
        <v>491</v>
      </c>
      <c r="T180" s="118" t="s">
        <v>1053</v>
      </c>
    </row>
    <row r="181" ht="15.75" customHeight="1">
      <c r="A181" s="118" t="s">
        <v>456</v>
      </c>
      <c r="B181" s="118" t="s">
        <v>374</v>
      </c>
      <c r="C181" s="118" t="s">
        <v>985</v>
      </c>
      <c r="D181" s="118" t="s">
        <v>491</v>
      </c>
      <c r="E181" s="118" t="s">
        <v>491</v>
      </c>
      <c r="F181" s="118" t="s">
        <v>985</v>
      </c>
      <c r="G181" s="118" t="s">
        <v>491</v>
      </c>
      <c r="H181" s="118" t="s">
        <v>985</v>
      </c>
      <c r="I181" s="118" t="s">
        <v>491</v>
      </c>
      <c r="J181" s="118" t="s">
        <v>985</v>
      </c>
      <c r="K181" s="118" t="s">
        <v>491</v>
      </c>
      <c r="L181" s="118" t="s">
        <v>985</v>
      </c>
      <c r="M181" s="118" t="s">
        <v>985</v>
      </c>
      <c r="N181" s="118" t="s">
        <v>491</v>
      </c>
      <c r="O181" s="118" t="s">
        <v>491</v>
      </c>
      <c r="P181" s="119" t="s">
        <v>1050</v>
      </c>
      <c r="Q181" s="118" t="s">
        <v>491</v>
      </c>
      <c r="R181" s="119"/>
      <c r="S181" s="118" t="s">
        <v>491</v>
      </c>
      <c r="T181" s="118" t="s">
        <v>1054</v>
      </c>
    </row>
    <row r="182" ht="15.75" customHeight="1">
      <c r="A182" s="118" t="s">
        <v>457</v>
      </c>
      <c r="B182" s="118" t="s">
        <v>374</v>
      </c>
      <c r="C182" s="118" t="s">
        <v>985</v>
      </c>
      <c r="D182" s="118" t="s">
        <v>491</v>
      </c>
      <c r="E182" s="118" t="s">
        <v>491</v>
      </c>
      <c r="F182" s="118" t="s">
        <v>985</v>
      </c>
      <c r="G182" s="118" t="s">
        <v>985</v>
      </c>
      <c r="H182" s="118" t="s">
        <v>985</v>
      </c>
      <c r="I182" s="118" t="s">
        <v>491</v>
      </c>
      <c r="J182" s="118" t="s">
        <v>985</v>
      </c>
      <c r="K182" s="118" t="s">
        <v>491</v>
      </c>
      <c r="L182" s="118" t="s">
        <v>985</v>
      </c>
      <c r="M182" s="118" t="s">
        <v>985</v>
      </c>
      <c r="N182" s="118" t="s">
        <v>985</v>
      </c>
      <c r="O182" s="118" t="s">
        <v>491</v>
      </c>
      <c r="P182" s="119" t="s">
        <v>1002</v>
      </c>
      <c r="Q182" s="118" t="s">
        <v>491</v>
      </c>
      <c r="R182" s="119"/>
      <c r="S182" s="118" t="s">
        <v>491</v>
      </c>
      <c r="T182" s="118" t="s">
        <v>1055</v>
      </c>
    </row>
    <row r="183" ht="15.75" customHeight="1">
      <c r="A183" s="118" t="s">
        <v>458</v>
      </c>
      <c r="B183" s="118" t="s">
        <v>374</v>
      </c>
      <c r="C183" s="118" t="s">
        <v>985</v>
      </c>
      <c r="D183" s="118" t="s">
        <v>491</v>
      </c>
      <c r="E183" s="118" t="s">
        <v>491</v>
      </c>
      <c r="F183" s="118" t="s">
        <v>491</v>
      </c>
      <c r="G183" s="118" t="s">
        <v>985</v>
      </c>
      <c r="H183" s="118" t="s">
        <v>985</v>
      </c>
      <c r="I183" s="118" t="s">
        <v>491</v>
      </c>
      <c r="J183" s="118" t="s">
        <v>985</v>
      </c>
      <c r="K183" s="118" t="s">
        <v>491</v>
      </c>
      <c r="L183" s="118" t="s">
        <v>985</v>
      </c>
      <c r="M183" s="118" t="s">
        <v>985</v>
      </c>
      <c r="N183" s="118" t="s">
        <v>985</v>
      </c>
      <c r="O183" s="118" t="s">
        <v>985</v>
      </c>
      <c r="P183" s="119" t="s">
        <v>1033</v>
      </c>
      <c r="Q183" s="118" t="s">
        <v>491</v>
      </c>
      <c r="R183" s="119"/>
      <c r="S183" s="118" t="s">
        <v>985</v>
      </c>
      <c r="T183" s="118" t="s">
        <v>1056</v>
      </c>
    </row>
    <row r="184" ht="15.75" customHeight="1">
      <c r="A184" s="118" t="s">
        <v>460</v>
      </c>
      <c r="B184" s="118" t="s">
        <v>374</v>
      </c>
      <c r="C184" s="118" t="s">
        <v>985</v>
      </c>
      <c r="D184" s="118" t="s">
        <v>491</v>
      </c>
      <c r="E184" s="118" t="s">
        <v>491</v>
      </c>
      <c r="F184" s="118" t="s">
        <v>985</v>
      </c>
      <c r="G184" s="118" t="s">
        <v>491</v>
      </c>
      <c r="H184" s="118" t="s">
        <v>985</v>
      </c>
      <c r="I184" s="118" t="s">
        <v>985</v>
      </c>
      <c r="J184" s="118" t="s">
        <v>985</v>
      </c>
      <c r="K184" s="118" t="s">
        <v>491</v>
      </c>
      <c r="L184" s="118" t="s">
        <v>985</v>
      </c>
      <c r="M184" s="118" t="s">
        <v>985</v>
      </c>
      <c r="N184" s="118" t="s">
        <v>491</v>
      </c>
      <c r="O184" s="118" t="s">
        <v>985</v>
      </c>
      <c r="P184" s="119" t="s">
        <v>1057</v>
      </c>
      <c r="Q184" s="118" t="s">
        <v>491</v>
      </c>
      <c r="R184" s="119"/>
      <c r="S184" s="118" t="s">
        <v>491</v>
      </c>
      <c r="T184" s="118" t="s">
        <v>1058</v>
      </c>
    </row>
    <row r="185" ht="15.75" customHeight="1">
      <c r="A185" s="118" t="s">
        <v>463</v>
      </c>
      <c r="B185" s="118" t="s">
        <v>374</v>
      </c>
      <c r="C185" s="118" t="s">
        <v>985</v>
      </c>
      <c r="D185" s="118" t="s">
        <v>491</v>
      </c>
      <c r="E185" s="118" t="s">
        <v>491</v>
      </c>
      <c r="F185" s="118" t="s">
        <v>985</v>
      </c>
      <c r="G185" s="118" t="s">
        <v>985</v>
      </c>
      <c r="H185" s="118" t="s">
        <v>985</v>
      </c>
      <c r="I185" s="118" t="s">
        <v>985</v>
      </c>
      <c r="J185" s="118" t="s">
        <v>985</v>
      </c>
      <c r="K185" s="118" t="s">
        <v>491</v>
      </c>
      <c r="L185" s="118" t="s">
        <v>985</v>
      </c>
      <c r="M185" s="118" t="s">
        <v>985</v>
      </c>
      <c r="N185" s="118" t="s">
        <v>985</v>
      </c>
      <c r="O185" s="118" t="s">
        <v>985</v>
      </c>
      <c r="P185" s="119" t="s">
        <v>1002</v>
      </c>
      <c r="Q185" s="118" t="s">
        <v>491</v>
      </c>
      <c r="R185" s="119"/>
      <c r="S185" s="118" t="s">
        <v>985</v>
      </c>
      <c r="T185" s="118" t="s">
        <v>1059</v>
      </c>
    </row>
    <row r="186" ht="15.75" customHeight="1"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20"/>
      <c r="Q186" s="100"/>
      <c r="R186" s="120"/>
      <c r="S186" s="100"/>
      <c r="T186" s="100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dataValidations>
    <dataValidation type="list" allowBlank="1" showErrorMessage="1" sqref="B2:B185">
      <formula1>"Aceh Utara,Pidie,Aceh Jaya,Aceh Timur,Bireun,Aceh Besar"</formula1>
    </dataValidation>
    <dataValidation type="list" allowBlank="1" showErrorMessage="1" sqref="C2:O185 Q2:Q185 S2:S185">
      <formula1>"Ya,Tidak"</formula1>
    </dataValidation>
    <dataValidation type="list" allowBlank="1" showErrorMessage="1" sqref="P2:P185">
      <formula1>"Ikut pengumuman desa,Ikut kelompok tani,Ikut penyuluh,Ikut siaran radio/tv,Mandiri,Ikut keujrun blang"</formula1>
    </dataValidation>
    <dataValidation type="list" allowBlank="1" showErrorMessage="1" sqref="R2:R185">
      <formula1>"Banjir,Kemarau,Suhu ektrim,Angin kencang,Hujan deras,Hujan tidak menentu,Hama"</formula1>
    </dataValidation>
  </dataValidations>
  <printOptions/>
  <pageMargins bottom="0.75" footer="0.0" header="0.0" left="0.7" right="0.7" top="0.75"/>
  <pageSetup orientation="landscape"/>
  <drawing r:id="rId1"/>
</worksheet>
</file>